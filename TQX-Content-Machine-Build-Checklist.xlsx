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shboard" sheetId="2" state="visible" r:id="rId2"/>
    <sheet name="Skills" sheetId="3" state="visible" r:id="rId3"/>
    <sheet name="Agent x Skill" sheetId="4" state="visible" r:id="rId4"/>
    <sheet name="Agents" sheetId="5" state="visible" r:id="rId5"/>
    <sheet name="Setup &amp; Inputs" sheetId="6" state="visible" r:id="rId6"/>
  </sheets>
  <definedNames>
    <definedName name="_xlnm._FilterDatabase" localSheetId="2" hidden="1">'Skills'!$A$1:$L$35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66534"/>
      <sz val="11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0" pivotButton="0" quotePrefix="0" xfId="0"/>
    <xf numFmtId="0" fontId="3" fillId="2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usiness.facebook.com/" TargetMode="External" Id="rId1" /><Relationship Type="http://schemas.openxmlformats.org/officeDocument/2006/relationships/hyperlink" Target="https://developers.facebook.com/apps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TQX Content Machine: Build Checklist</t>
        </is>
      </c>
    </row>
    <row r="2">
      <c r="A2" s="2" t="inlineStr">
        <is>
          <t>GATC + QUBE · Editor is human for now · Full detail in AGENTS-AND-SKILLS-PLAN.md</t>
        </is>
      </c>
    </row>
    <row r="4">
      <c r="A4" s="3" t="inlineStr">
        <is>
          <t>Tab</t>
        </is>
      </c>
      <c r="B4" s="4" t="inlineStr">
        <is>
          <t>What it's for</t>
        </is>
      </c>
    </row>
    <row r="5">
      <c r="A5" s="5" t="inlineStr">
        <is>
          <t>Dashboard</t>
        </is>
      </c>
      <c r="B5" s="6" t="inlineStr">
        <is>
          <t>Overall progress. Fills in automatically. Don't edit.</t>
        </is>
      </c>
    </row>
    <row r="6">
      <c r="A6" s="5" t="inlineStr">
        <is>
          <t>Skills</t>
        </is>
      </c>
      <c r="B6" s="6" t="inlineStr">
        <is>
          <t>All 34 skills. Update the yellow Status column as you work. Add notes in the Notes column.</t>
        </is>
      </c>
    </row>
    <row r="7">
      <c r="A7" s="5" t="inlineStr">
        <is>
          <t>Agents</t>
        </is>
      </c>
      <c r="B7" s="6" t="inlineStr">
        <is>
          <t>All 11 agents. "Skills done" and "Ready?" fill in automatically from the Skills tab. Update the yellow Status column when you build one.</t>
        </is>
      </c>
    </row>
    <row r="8">
      <c r="A8" s="5" t="inlineStr">
        <is>
          <t>Agent x Skill</t>
        </is>
      </c>
      <c r="B8" s="6" t="inlineStr">
        <is>
          <t>Which agent loads which skill (✓). Reference only.</t>
        </is>
      </c>
    </row>
    <row r="9">
      <c r="A9" s="5" t="inlineStr">
        <is>
          <t>Setup &amp; Inputs</t>
        </is>
      </c>
      <c r="B9" s="6" t="inlineStr">
        <is>
          <t>Non-skill tasks: tools, accounts, and the raw material Mark needs to collect. Update the yellow Status column.</t>
        </is>
      </c>
    </row>
    <row r="10">
      <c r="A10" s="5" t="inlineStr"/>
      <c r="B10" s="6" t="inlineStr"/>
    </row>
    <row r="11">
      <c r="A11" s="7" t="inlineStr">
        <is>
          <t>Yellow cells</t>
        </is>
      </c>
      <c r="B11" s="6" t="inlineStr">
        <is>
          <t>The only cells you edit. Pick from the dropdown.</t>
        </is>
      </c>
    </row>
    <row r="12">
      <c r="A12" s="5" t="inlineStr">
        <is>
          <t>Skill status</t>
        </is>
      </c>
      <c r="B12" s="6" t="inlineStr">
        <is>
          <t>Not started → In progress → Drafted → Reviewed → Done</t>
        </is>
      </c>
    </row>
    <row r="13">
      <c r="A13" s="5" t="inlineStr">
        <is>
          <t>Agent status</t>
        </is>
      </c>
      <c r="B13" s="6" t="inlineStr">
        <is>
          <t>Not started → Building → Testing → Live</t>
        </is>
      </c>
    </row>
    <row r="14">
      <c r="A14" s="5" t="inlineStr">
        <is>
          <t>START HERE</t>
        </is>
      </c>
      <c r="B14" s="6" t="inlineStr">
        <is>
          <t>terminology and gold-standard-scripts save the most fixing time. Do them first.</t>
        </is>
      </c>
    </row>
    <row r="15">
      <c r="A15" s="5" t="inlineStr">
        <is>
          <t>Who builds</t>
        </is>
      </c>
      <c r="B15" s="6" t="inlineStr">
        <is>
          <t>Mark = only Mark knows it · Pipeline = built from the link database / recordings · Claude drafts, Mark corrects · Already exists</t>
        </is>
      </c>
    </row>
    <row r="16">
      <c r="A16" s="5" t="inlineStr">
        <is>
          <t>Phase</t>
        </is>
      </c>
      <c r="B16" s="6" t="inlineStr">
        <is>
          <t>1 Foundation · 2 Study pipeline · 3 Analytics · 4 Feedback · 5 Competitors · 6 Production · 7 Automate · 8 Later</t>
        </is>
      </c>
    </row>
    <row r="17">
      <c r="A17" s="5" t="inlineStr">
        <is>
          <t>Tip</t>
        </is>
      </c>
      <c r="B17" s="6" t="inlineStr">
        <is>
          <t>For every rule you write in a skill, include a bad line and a fixed line. Claude follows examples far more reliably than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Progress</t>
        </is>
      </c>
    </row>
    <row r="2">
      <c r="A2" s="2" t="inlineStr">
        <is>
          <t>Fills in automatically from the other tabs.</t>
        </is>
      </c>
    </row>
    <row r="4">
      <c r="A4" s="8" t="inlineStr">
        <is>
          <t>Skills by who builds</t>
        </is>
      </c>
      <c r="B4" s="8" t="inlineStr">
        <is>
          <t>Total</t>
        </is>
      </c>
      <c r="C4" s="8" t="inlineStr">
        <is>
          <t>Done</t>
        </is>
      </c>
      <c r="D4" s="8" t="inlineStr">
        <is>
          <t>% done</t>
        </is>
      </c>
    </row>
    <row r="5">
      <c r="A5" s="9" t="inlineStr">
        <is>
          <t>Mark</t>
        </is>
      </c>
      <c r="B5" s="9">
        <f>COUNTIF(Skills!$D$2:$D$35,A5)</f>
        <v/>
      </c>
      <c r="C5" s="9">
        <f>COUNTIFS(Skills!$D$2:$D$35,A5,Skills!$K$2:$K$35,"Done")</f>
        <v/>
      </c>
      <c r="D5" s="10">
        <f>IF(B5=0,0,C5/B5)</f>
        <v/>
      </c>
    </row>
    <row r="6">
      <c r="A6" s="9" t="inlineStr">
        <is>
          <t>Pipeline</t>
        </is>
      </c>
      <c r="B6" s="9">
        <f>COUNTIF(Skills!$D$2:$D$35,A6)</f>
        <v/>
      </c>
      <c r="C6" s="9">
        <f>COUNTIFS(Skills!$D$2:$D$35,A6,Skills!$K$2:$K$35,"Done")</f>
        <v/>
      </c>
      <c r="D6" s="10">
        <f>IF(B6=0,0,C6/B6)</f>
        <v/>
      </c>
    </row>
    <row r="7">
      <c r="A7" s="9" t="inlineStr">
        <is>
          <t>Claude drafts, Mark corrects</t>
        </is>
      </c>
      <c r="B7" s="9">
        <f>COUNTIF(Skills!$D$2:$D$35,A7)</f>
        <v/>
      </c>
      <c r="C7" s="9">
        <f>COUNTIFS(Skills!$D$2:$D$35,A7,Skills!$K$2:$K$35,"Done")</f>
        <v/>
      </c>
      <c r="D7" s="10">
        <f>IF(B7=0,0,C7/B7)</f>
        <v/>
      </c>
    </row>
    <row r="8">
      <c r="A8" s="9" t="inlineStr">
        <is>
          <t>Already exists</t>
        </is>
      </c>
      <c r="B8" s="9">
        <f>COUNTIF(Skills!$D$2:$D$35,A8)</f>
        <v/>
      </c>
      <c r="C8" s="9">
        <f>COUNTIFS(Skills!$D$2:$D$35,A8,Skills!$K$2:$K$35,"Done")</f>
        <v/>
      </c>
      <c r="D8" s="10">
        <f>IF(B8=0,0,C8/B8)</f>
        <v/>
      </c>
    </row>
    <row r="9">
      <c r="A9" s="11" t="inlineStr">
        <is>
          <t>All skills</t>
        </is>
      </c>
      <c r="B9" s="11">
        <f>SUM(B5:B8)</f>
        <v/>
      </c>
      <c r="C9" s="11">
        <f>SUM(C5:C8)</f>
        <v/>
      </c>
      <c r="D9" s="12">
        <f>IF(B9=0,0,C9/B9)</f>
        <v/>
      </c>
    </row>
    <row r="11">
      <c r="A11" s="8" t="inlineStr">
        <is>
          <t>Skills by phase</t>
        </is>
      </c>
      <c r="B11" s="8" t="inlineStr">
        <is>
          <t>Total</t>
        </is>
      </c>
      <c r="C11" s="8" t="inlineStr">
        <is>
          <t>Done</t>
        </is>
      </c>
      <c r="D11" s="8" t="inlineStr">
        <is>
          <t>% done</t>
        </is>
      </c>
    </row>
    <row r="12">
      <c r="A12" s="9" t="inlineStr">
        <is>
          <t>1 Foundation</t>
        </is>
      </c>
      <c r="B12" s="9">
        <f>COUNTIF(Skills!$E$2:$E$35,1)</f>
        <v/>
      </c>
      <c r="C12" s="9">
        <f>COUNTIFS(Skills!$E$2:$E$35,1,Skills!$K$2:$K$35,"Done")</f>
        <v/>
      </c>
      <c r="D12" s="10">
        <f>IF(B12=0,0,C12/B12)</f>
        <v/>
      </c>
    </row>
    <row r="13">
      <c r="A13" s="9" t="inlineStr">
        <is>
          <t>2 Study pipeline</t>
        </is>
      </c>
      <c r="B13" s="9">
        <f>COUNTIF(Skills!$E$2:$E$35,2)</f>
        <v/>
      </c>
      <c r="C13" s="9">
        <f>COUNTIFS(Skills!$E$2:$E$35,2,Skills!$K$2:$K$35,"Done")</f>
        <v/>
      </c>
      <c r="D13" s="10">
        <f>IF(B13=0,0,C13/B13)</f>
        <v/>
      </c>
    </row>
    <row r="14">
      <c r="A14" s="9" t="inlineStr">
        <is>
          <t>3 Analytics</t>
        </is>
      </c>
      <c r="B14" s="9">
        <f>COUNTIF(Skills!$E$2:$E$35,3)</f>
        <v/>
      </c>
      <c r="C14" s="9">
        <f>COUNTIFS(Skills!$E$2:$E$35,3,Skills!$K$2:$K$35,"Done")</f>
        <v/>
      </c>
      <c r="D14" s="10">
        <f>IF(B14=0,0,C14/B14)</f>
        <v/>
      </c>
    </row>
    <row r="15">
      <c r="A15" s="9" t="inlineStr">
        <is>
          <t>4 Feedback</t>
        </is>
      </c>
      <c r="B15" s="9">
        <f>COUNTIF(Skills!$E$2:$E$35,4)</f>
        <v/>
      </c>
      <c r="C15" s="9">
        <f>COUNTIFS(Skills!$E$2:$E$35,4,Skills!$K$2:$K$35,"Done")</f>
        <v/>
      </c>
      <c r="D15" s="10">
        <f>IF(B15=0,0,C15/B15)</f>
        <v/>
      </c>
    </row>
    <row r="16">
      <c r="A16" s="9" t="inlineStr">
        <is>
          <t>5 Competitors</t>
        </is>
      </c>
      <c r="B16" s="9">
        <f>COUNTIF(Skills!$E$2:$E$35,5)</f>
        <v/>
      </c>
      <c r="C16" s="9">
        <f>COUNTIFS(Skills!$E$2:$E$35,5,Skills!$K$2:$K$35,"Done")</f>
        <v/>
      </c>
      <c r="D16" s="10">
        <f>IF(B16=0,0,C16/B16)</f>
        <v/>
      </c>
    </row>
    <row r="17">
      <c r="A17" s="9" t="inlineStr">
        <is>
          <t>6 Production</t>
        </is>
      </c>
      <c r="B17" s="9">
        <f>COUNTIF(Skills!$E$2:$E$35,6)</f>
        <v/>
      </c>
      <c r="C17" s="9">
        <f>COUNTIFS(Skills!$E$2:$E$35,6,Skills!$K$2:$K$35,"Done")</f>
        <v/>
      </c>
      <c r="D17" s="10">
        <f>IF(B17=0,0,C17/B17)</f>
        <v/>
      </c>
    </row>
    <row r="19">
      <c r="A19" s="8" t="inlineStr">
        <is>
          <t>Agents</t>
        </is>
      </c>
      <c r="B19" s="8" t="inlineStr">
        <is>
          <t>Count</t>
        </is>
      </c>
    </row>
    <row r="20">
      <c r="A20" s="9" t="inlineStr">
        <is>
          <t>Total agents</t>
        </is>
      </c>
      <c r="B20" s="9">
        <f>COUNTA(Agents!$B$2:$B$12)</f>
        <v/>
      </c>
    </row>
    <row r="21">
      <c r="A21" s="9" t="inlineStr">
        <is>
          <t>All skills ready (can build now)</t>
        </is>
      </c>
      <c r="B21" s="9">
        <f>COUNTIF(Agents!$I$2:$I$12,"Ready to build")</f>
        <v/>
      </c>
    </row>
    <row r="22">
      <c r="A22" s="9" t="inlineStr">
        <is>
          <t>Building</t>
        </is>
      </c>
      <c r="B22" s="9">
        <f>COUNTIF(Agents!$J$2:$J$12,"Building")</f>
        <v/>
      </c>
    </row>
    <row r="23">
      <c r="A23" s="9" t="inlineStr">
        <is>
          <t>Testing</t>
        </is>
      </c>
      <c r="B23" s="9">
        <f>COUNTIF(Agents!$J$2:$J$12,"Testing")</f>
        <v/>
      </c>
    </row>
    <row r="24">
      <c r="A24" s="9" t="inlineStr">
        <is>
          <t>Live</t>
        </is>
      </c>
      <c r="B24" s="9">
        <f>COUNTIF(Agents!$J$2:$J$12,"Live")</f>
        <v/>
      </c>
    </row>
    <row r="26">
      <c r="A26" s="8" t="inlineStr">
        <is>
          <t>Setup &amp; inputs</t>
        </is>
      </c>
      <c r="B26" s="8" t="inlineStr">
        <is>
          <t>Count</t>
        </is>
      </c>
    </row>
    <row r="27">
      <c r="A27" s="9" t="inlineStr">
        <is>
          <t>Total tasks</t>
        </is>
      </c>
      <c r="B27" s="9">
        <f>COUNTA('Setup &amp; Inputs'!$B$2:$B$17)</f>
        <v/>
      </c>
    </row>
    <row r="28">
      <c r="A28" s="9" t="inlineStr">
        <is>
          <t>Done</t>
        </is>
      </c>
      <c r="B28" s="9">
        <f>COUNTIF('Setup &amp; Inputs'!$G$2:$G$17,"Done")</f>
        <v/>
      </c>
    </row>
    <row r="29">
      <c r="A29" s="9" t="inlineStr">
        <is>
          <t>Mark's tasks still open</t>
        </is>
      </c>
      <c r="B29" s="9">
        <f>COUNTIFS('Setup &amp; Inputs'!$D$2:$D$17,"Mark",'Setup &amp; Inputs'!$G$2:$G$17,"&lt;&gt;Done")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16" customWidth="1" min="4" max="4"/>
    <col width="7" customWidth="1" min="5" max="5"/>
    <col width="12" customWidth="1" min="6" max="6"/>
    <col width="55" customWidth="1" min="7" max="7"/>
    <col width="45" customWidth="1" min="8" max="8"/>
    <col width="30" customWidth="1" min="9" max="9"/>
    <col width="9" customWidth="1" min="10" max="10"/>
    <col width="14" customWidth="1" min="11" max="11"/>
    <col width="30" customWidth="1" min="12" max="12"/>
  </cols>
  <sheetData>
    <row r="1" ht="30" customHeight="1">
      <c r="A1" s="13" t="inlineStr">
        <is>
          <t>#</t>
        </is>
      </c>
      <c r="B1" s="13" t="inlineStr">
        <is>
          <t>Skill</t>
        </is>
      </c>
      <c r="C1" s="13" t="inlineStr">
        <is>
          <t>Group</t>
        </is>
      </c>
      <c r="D1" s="13" t="inlineStr">
        <is>
          <t>Who builds</t>
        </is>
      </c>
      <c r="E1" s="13" t="inlineStr">
        <is>
          <t>Phase</t>
        </is>
      </c>
      <c r="F1" s="13" t="inlineStr">
        <is>
          <t>Priority</t>
        </is>
      </c>
      <c r="G1" s="13" t="inlineStr">
        <is>
          <t>What goes in it</t>
        </is>
      </c>
      <c r="H1" s="13" t="inlineStr">
        <is>
          <t>What Claude gets wrong without it</t>
        </is>
      </c>
      <c r="I1" s="13" t="inlineStr">
        <is>
          <t>Used by (agents)</t>
        </is>
      </c>
      <c r="J1" s="13" t="inlineStr">
        <is>
          <t># agents</t>
        </is>
      </c>
      <c r="K1" s="13" t="inlineStr">
        <is>
          <t>Status</t>
        </is>
      </c>
      <c r="L1" s="13" t="inlineStr">
        <is>
          <t>Notes</t>
        </is>
      </c>
    </row>
    <row r="2">
      <c r="A2" s="14" t="n">
        <v>1</v>
      </c>
      <c r="B2" s="15" t="inlineStr">
        <is>
          <t>audience-profile</t>
        </is>
      </c>
      <c r="C2" s="16" t="inlineStr">
        <is>
          <t>A. Who we're talking to</t>
        </is>
      </c>
      <c r="D2" s="16" t="inlineStr">
        <is>
          <t>Mark</t>
        </is>
      </c>
      <c r="E2" s="14" t="n">
        <v>1</v>
      </c>
      <c r="F2" s="16" t="inlineStr"/>
      <c r="G2" s="16" t="inlineStr">
        <is>
          <t>Each persona: trading experience, what they already know and believe, pains, goals, objections, what they've been burned by (signal groups, bots, courses), awareness stage (never heard of AI trading → ready to join GATC).</t>
        </is>
      </c>
      <c r="H2" s="16" t="inlineStr">
        <is>
          <t>Pitches at the wrong level: explains what they know, skips what they don't, writes for a generic "trader".</t>
        </is>
      </c>
      <c r="I2" s="16" t="inlineStr">
        <is>
          <t>Director, Scriptwriter, Competitor scout</t>
        </is>
      </c>
      <c r="J2" s="14" t="n"/>
      <c r="K2" s="17" t="inlineStr">
        <is>
          <t>Not started</t>
        </is>
      </c>
      <c r="L2" s="16" t="inlineStr"/>
    </row>
    <row r="3">
      <c r="A3" s="14" t="n">
        <v>2</v>
      </c>
      <c r="B3" s="15" t="inlineStr">
        <is>
          <t>audience-language</t>
        </is>
      </c>
      <c r="C3" s="16" t="inlineStr">
        <is>
          <t>A. Who we're talking to</t>
        </is>
      </c>
      <c r="D3" s="16" t="inlineStr">
        <is>
          <t>Pipeline</t>
        </is>
      </c>
      <c r="E3" s="14" t="n">
        <v>2</v>
      </c>
      <c r="F3" s="16" t="inlineStr"/>
      <c r="G3" s="16" t="inlineStr">
        <is>
          <t>The exact phrases the audience uses, taken from comments, DMs, Reddit and competitors' comment sections, grouped by pain point.</t>
        </is>
      </c>
      <c r="H3" s="16" t="inlineStr">
        <is>
          <t>Writes in marketer language instead of the words the audience uses.</t>
        </is>
      </c>
      <c r="I3" s="16" t="inlineStr">
        <is>
          <t>Scriptwriter</t>
        </is>
      </c>
      <c r="J3" s="14" t="n"/>
      <c r="K3" s="17" t="inlineStr">
        <is>
          <t>Not started</t>
        </is>
      </c>
      <c r="L3" s="16" t="inlineStr"/>
    </row>
    <row r="4">
      <c r="A4" s="14" t="n">
        <v>3</v>
      </c>
      <c r="B4" s="15" t="inlineStr">
        <is>
          <t>product-truth-gatc</t>
        </is>
      </c>
      <c r="C4" s="16" t="inlineStr">
        <is>
          <t>B. What we're talking about</t>
        </is>
      </c>
      <c r="D4" s="16" t="inlineStr">
        <is>
          <t>Mark</t>
        </is>
      </c>
      <c r="E4" s="14" t="n">
        <v>1</v>
      </c>
      <c r="F4" s="16" t="inlineStr"/>
      <c r="G4" s="16" t="inlineStr">
        <is>
          <t>What GATC is, how it works step by step, what's live today vs roadmap, real numbers with source and date, what it is NOT. Seed from the existing tqx-gatc-workflow skill.</t>
        </is>
      </c>
      <c r="H4" s="16" t="inlineStr">
        <is>
          <t>Invents features, describes the mechanics wrong, uses outdated numbers.</t>
        </is>
      </c>
      <c r="I4" s="16" t="inlineStr">
        <is>
          <t>Scriptwriter, Script critic, Production, B-roll</t>
        </is>
      </c>
      <c r="J4" s="14" t="n"/>
      <c r="K4" s="17" t="inlineStr">
        <is>
          <t>Not started</t>
        </is>
      </c>
      <c r="L4" s="16" t="inlineStr"/>
    </row>
    <row r="5">
      <c r="A5" s="14" t="n">
        <v>4</v>
      </c>
      <c r="B5" s="15" t="inlineStr">
        <is>
          <t>product-truth-qube</t>
        </is>
      </c>
      <c r="C5" s="16" t="inlineStr">
        <is>
          <t>B. What we're talking about</t>
        </is>
      </c>
      <c r="D5" s="16" t="inlineStr">
        <is>
          <t>Mark</t>
        </is>
      </c>
      <c r="E5" s="14" t="n">
        <v>1</v>
      </c>
      <c r="F5" s="16" t="inlineStr"/>
      <c r="G5" s="16" t="inlineStr">
        <is>
          <t>Same structure as product-truth-gatc, for QUBE.</t>
        </is>
      </c>
      <c r="H5" s="16" t="inlineStr">
        <is>
          <t>Invents features, describes the mechanics wrong, uses outdated numbers.</t>
        </is>
      </c>
      <c r="I5" s="16" t="inlineStr">
        <is>
          <t>Scriptwriter, Script critic, Production, B-roll</t>
        </is>
      </c>
      <c r="J5" s="14" t="n"/>
      <c r="K5" s="17" t="inlineStr">
        <is>
          <t>Not started</t>
        </is>
      </c>
      <c r="L5" s="16" t="inlineStr"/>
    </row>
    <row r="6">
      <c r="A6" s="14" t="n">
        <v>5</v>
      </c>
      <c r="B6" s="15" t="inlineStr">
        <is>
          <t>terminology</t>
        </is>
      </c>
      <c r="C6" s="16" t="inlineStr">
        <is>
          <t>B. What we're talking about</t>
        </is>
      </c>
      <c r="D6" s="16" t="inlineStr">
        <is>
          <t>Mark</t>
        </is>
      </c>
      <c r="E6" s="14" t="n">
        <v>1</v>
      </c>
      <c r="F6" s="18" t="inlineStr">
        <is>
          <t>START HERE</t>
        </is>
      </c>
      <c r="G6" s="16" t="inlineStr">
        <is>
          <t>Glossary table: approved term, definition, never-say synonyms, capitalisation, explain-or-assume per audience, internal-only flag, and a correct-in-a-sentence example for each.</t>
        </is>
      </c>
      <c r="H6" s="16" t="inlineStr">
        <is>
          <t>Synonyms drifting (bot / algo / model / agent), wrong definitions, internal jargon leaking into scripts.</t>
        </is>
      </c>
      <c r="I6" s="16" t="inlineStr">
        <is>
          <t>Scriptwriter, Script critic, B-roll</t>
        </is>
      </c>
      <c r="J6" s="14" t="n"/>
      <c r="K6" s="17" t="inlineStr">
        <is>
          <t>Not started</t>
        </is>
      </c>
      <c r="L6" s="16" t="inlineStr"/>
    </row>
    <row r="7">
      <c r="A7" s="14" t="n">
        <v>6</v>
      </c>
      <c r="B7" s="15" t="inlineStr">
        <is>
          <t>trading-fundamentals</t>
        </is>
      </c>
      <c r="C7" s="16" t="inlineStr">
        <is>
          <t>B. What we're talking about</t>
        </is>
      </c>
      <c r="D7" s="16" t="inlineStr">
        <is>
          <t>Claude drafts, Mark corrects</t>
        </is>
      </c>
      <c r="E7" s="14" t="n">
        <v>1</v>
      </c>
      <c r="F7" s="16" t="inlineStr"/>
      <c r="G7" s="16" t="inlineStr">
        <is>
          <t>Correct meanings at the right depth (drawdown, win rate, sim vs live, backtest vs forward test, leverage, etc.), common misconceptions, and how WE explain each.</t>
        </is>
      </c>
      <c r="H7" s="16" t="inlineStr">
        <is>
          <t>Statements that are slightly wrong, which experienced traders spot instantly.</t>
        </is>
      </c>
      <c r="I7" s="16" t="inlineStr">
        <is>
          <t>Scriptwriter, Script critic</t>
        </is>
      </c>
      <c r="J7" s="14" t="n"/>
      <c r="K7" s="17" t="inlineStr">
        <is>
          <t>Not started</t>
        </is>
      </c>
      <c r="L7" s="16" t="inlineStr"/>
    </row>
    <row r="8">
      <c r="A8" s="14" t="n">
        <v>7</v>
      </c>
      <c r="B8" s="15" t="inlineStr">
        <is>
          <t>claims-and-proof</t>
        </is>
      </c>
      <c r="C8" s="16" t="inlineStr">
        <is>
          <t>B. What we're talking about</t>
        </is>
      </c>
      <c r="D8" s="16" t="inlineStr">
        <is>
          <t>Mark</t>
        </is>
      </c>
      <c r="E8" s="14" t="n">
        <v>1</v>
      </c>
      <c r="F8" s="16" t="inlineStr"/>
      <c r="G8" s="16" t="inlineStr">
        <is>
          <t>Every approved claim, paired with its proof (screenshot, leaderboard, result) and its allowed wording.</t>
        </is>
      </c>
      <c r="H8" s="16" t="inlineStr">
        <is>
          <t>Unproven "trust me" claims, which kill trust in a sceptical finance audience.</t>
        </is>
      </c>
      <c r="I8" s="16" t="inlineStr">
        <is>
          <t>Scriptwriter, B-roll</t>
        </is>
      </c>
      <c r="J8" s="14" t="n"/>
      <c r="K8" s="17" t="inlineStr">
        <is>
          <t>Not started</t>
        </is>
      </c>
      <c r="L8" s="16" t="inlineStr"/>
    </row>
    <row r="9">
      <c r="A9" s="14" t="n">
        <v>8</v>
      </c>
      <c r="B9" s="15" t="inlineStr">
        <is>
          <t>positioning</t>
        </is>
      </c>
      <c r="C9" s="16" t="inlineStr">
        <is>
          <t>B. What we're talking about</t>
        </is>
      </c>
      <c r="D9" s="16" t="inlineStr">
        <is>
          <t>Mark</t>
        </is>
      </c>
      <c r="E9" s="14" t="n">
        <v>1</v>
      </c>
      <c r="F9" s="16" t="inlineStr"/>
      <c r="G9" s="16" t="inlineStr">
        <is>
          <t>How we differ from signal groups, copy-trading, other AI bots and courses; the enemy we push against; comparisons we never make.</t>
        </is>
      </c>
      <c r="H9" s="16" t="inlineStr">
        <is>
          <t>Sounds like every other trading account.</t>
        </is>
      </c>
      <c r="I9" s="16" t="inlineStr">
        <is>
          <t>Director, Scriptwriter, Competitor scout</t>
        </is>
      </c>
      <c r="J9" s="14" t="n"/>
      <c r="K9" s="17" t="inlineStr">
        <is>
          <t>Not started</t>
        </is>
      </c>
      <c r="L9" s="16" t="inlineStr"/>
    </row>
    <row r="10">
      <c r="A10" s="14" t="n">
        <v>9</v>
      </c>
      <c r="B10" s="15" t="inlineStr">
        <is>
          <t>tqx-voice</t>
        </is>
      </c>
      <c r="C10" s="16" t="inlineStr">
        <is>
          <t>C. How we sound</t>
        </is>
      </c>
      <c r="D10" s="16" t="inlineStr">
        <is>
          <t>Mark</t>
        </is>
      </c>
      <c r="E10" s="14" t="n">
        <v>1</v>
      </c>
      <c r="F10" s="16" t="inlineStr"/>
      <c r="G10" s="16" t="inlineStr">
        <is>
          <t>Mark's rewrite. Who's speaking, point of view (I / we / you), attitude, energy, humour level, stance on hype. Built from transcripts of Mark talking naturally.</t>
        </is>
      </c>
      <c r="H10" s="16" t="inlineStr">
        <is>
          <t>Falls back to Claude's default polite, explainer voice.</t>
        </is>
      </c>
      <c r="I10" s="16" t="inlineStr">
        <is>
          <t>Scriptwriter, Script critic</t>
        </is>
      </c>
      <c r="J10" s="14" t="n"/>
      <c r="K10" s="17" t="inlineStr">
        <is>
          <t>Not started</t>
        </is>
      </c>
      <c r="L10" s="16" t="inlineStr"/>
    </row>
    <row r="11">
      <c r="A11" s="14" t="n">
        <v>10</v>
      </c>
      <c r="B11" s="15" t="inlineStr">
        <is>
          <t>spoken-sentence-rules</t>
        </is>
      </c>
      <c r="C11" s="16" t="inlineStr">
        <is>
          <t>C. How we sound</t>
        </is>
      </c>
      <c r="D11" s="16" t="inlineStr">
        <is>
          <t>Claude drafts, Mark corrects</t>
        </is>
      </c>
      <c r="E11" s="14" t="n">
        <v>1</v>
      </c>
      <c r="F11" s="16" t="inlineStr"/>
      <c r="G11" s="16" t="inlineStr">
        <is>
          <t>Sentence length range, one idea per sentence, contractions, how sentences may start, rhythm, punctuation for delivery, read-aloud test. Every rule has a bad line and a fixed line.</t>
        </is>
      </c>
      <c r="H11" s="16" t="inlineStr">
        <is>
          <t>Essay sentences that read fine on paper but sound wrong when spoken.</t>
        </is>
      </c>
      <c r="I11" s="16" t="inlineStr">
        <is>
          <t>Scriptwriter, Script critic</t>
        </is>
      </c>
      <c r="J11" s="14" t="n"/>
      <c r="K11" s="17" t="inlineStr">
        <is>
          <t>Not started</t>
        </is>
      </c>
      <c r="L11" s="16" t="inlineStr"/>
    </row>
    <row r="12">
      <c r="A12" s="14" t="n">
        <v>11</v>
      </c>
      <c r="B12" s="15" t="inlineStr">
        <is>
          <t>anti-ai-patterns</t>
        </is>
      </c>
      <c r="C12" s="16" t="inlineStr">
        <is>
          <t>C. How we sound</t>
        </is>
      </c>
      <c r="D12" s="16" t="inlineStr">
        <is>
          <t>Claude drafts, Mark corrects</t>
        </is>
      </c>
      <c r="E12" s="14" t="n">
        <v>1</v>
      </c>
      <c r="F12" s="16" t="inlineStr"/>
      <c r="G12" s="16" t="inlineStr">
        <is>
          <t>Banned patterns with fixes: "It's not X, it's Y", lists of three, em dashes, "Here's the thing", "Let's dive in", "game-changer", rhetorical-question chains, colon reveals, hedging, summary endings, motivational filler.</t>
        </is>
      </c>
      <c r="H12" s="16" t="inlineStr">
        <is>
          <t>The giveaways that make a script sound AI-written.</t>
        </is>
      </c>
      <c r="I12" s="16" t="inlineStr">
        <is>
          <t>Scriptwriter, Script critic</t>
        </is>
      </c>
      <c r="J12" s="14" t="n"/>
      <c r="K12" s="17" t="inlineStr">
        <is>
          <t>Not started</t>
        </is>
      </c>
      <c r="L12" s="16" t="inlineStr"/>
    </row>
    <row r="13">
      <c r="A13" s="14" t="n">
        <v>12</v>
      </c>
      <c r="B13" s="15" t="inlineStr">
        <is>
          <t>hook-writing</t>
        </is>
      </c>
      <c r="C13" s="16" t="inlineStr">
        <is>
          <t>D. How a script is built</t>
        </is>
      </c>
      <c r="D13" s="16" t="inlineStr">
        <is>
          <t>Pipeline</t>
        </is>
      </c>
      <c r="E13" s="14" t="n">
        <v>2</v>
      </c>
      <c r="F13" s="16" t="inlineStr"/>
      <c r="G13" s="16" t="inlineStr">
        <is>
          <t>From the link database: hook types, formulas, rules for the first 1–3 seconds, how spoken and on-screen text work together.</t>
        </is>
      </c>
      <c r="H13" s="16" t="inlineStr">
        <is>
          <t>Generic, slow, or clickbait hooks that don't fit TQX.</t>
        </is>
      </c>
      <c r="I13" s="16" t="inlineStr">
        <is>
          <t>Director, Scriptwriter, Retention analyst</t>
        </is>
      </c>
      <c r="J13" s="14" t="n"/>
      <c r="K13" s="17" t="inlineStr">
        <is>
          <t>Not started</t>
        </is>
      </c>
      <c r="L13" s="16" t="inlineStr"/>
    </row>
    <row r="14">
      <c r="A14" s="14" t="n">
        <v>13</v>
      </c>
      <c r="B14" s="15" t="inlineStr">
        <is>
          <t>story-structures</t>
        </is>
      </c>
      <c r="C14" s="16" t="inlineStr">
        <is>
          <t>D. How a script is built</t>
        </is>
      </c>
      <c r="D14" s="16" t="inlineStr">
        <is>
          <t>Pipeline</t>
        </is>
      </c>
      <c r="E14" s="14" t="n">
        <v>2</v>
      </c>
      <c r="F14" s="16" t="inlineStr"/>
      <c r="G14" s="16" t="inlineStr">
        <is>
          <t>From the link database: named structures with their beats, which goal each fits, seconds per beat at 30/45/60s.</t>
        </is>
      </c>
      <c r="H14" s="16" t="inlineStr">
        <is>
          <t>Shapeless middles; payoff in the wrong place.</t>
        </is>
      </c>
      <c r="I14" s="16" t="inlineStr">
        <is>
          <t>Scriptwriter, Retention analyst</t>
        </is>
      </c>
      <c r="J14" s="14" t="n"/>
      <c r="K14" s="17" t="inlineStr">
        <is>
          <t>Not started</t>
        </is>
      </c>
      <c r="L14" s="16" t="inlineStr"/>
    </row>
    <row r="15">
      <c r="A15" s="14" t="n">
        <v>14</v>
      </c>
      <c r="B15" s="15" t="inlineStr">
        <is>
          <t>retention-writing</t>
        </is>
      </c>
      <c r="C15" s="16" t="inlineStr">
        <is>
          <t>D. How a script is built</t>
        </is>
      </c>
      <c r="D15" s="16" t="inlineStr">
        <is>
          <t>Pipeline</t>
        </is>
      </c>
      <c r="E15" s="14" t="n">
        <v>2</v>
      </c>
      <c r="F15" s="16" t="inlineStr"/>
      <c r="G15" s="16" t="inlineStr">
        <is>
          <t>From the link database: open loops, a re-hook every few seconds, pattern breaks, payoff placement.</t>
        </is>
      </c>
      <c r="H15" s="16" t="inlineStr">
        <is>
          <t>Viewers leave in the middle.</t>
        </is>
      </c>
      <c r="I15" s="16" t="inlineStr">
        <is>
          <t>Scriptwriter, Retention analyst</t>
        </is>
      </c>
      <c r="J15" s="14" t="n"/>
      <c r="K15" s="17" t="inlineStr">
        <is>
          <t>Not started</t>
        </is>
      </c>
      <c r="L15" s="16" t="inlineStr"/>
    </row>
    <row r="16">
      <c r="A16" s="14" t="n">
        <v>15</v>
      </c>
      <c r="B16" s="15" t="inlineStr">
        <is>
          <t>script-logic</t>
        </is>
      </c>
      <c r="C16" s="16" t="inlineStr">
        <is>
          <t>D. How a script is built</t>
        </is>
      </c>
      <c r="D16" s="16" t="inlineStr">
        <is>
          <t>Claude drafts, Mark corrects</t>
        </is>
      </c>
      <c r="E16" s="14" t="n">
        <v>1</v>
      </c>
      <c r="F16" s="16" t="inlineStr"/>
      <c r="G16" s="16" t="inlineStr">
        <is>
          <t>The reasoning chain: the hook's promise must be paid off; every line answers "so what?" or "how?"; no skipped steps; correct cause and effect; one main idea per video; the explain-it-to-a-friend test.</t>
        </is>
      </c>
      <c r="H16" s="16" t="inlineStr">
        <is>
          <t>Scripts that sound fine line by line but don't make sense as a whole.</t>
        </is>
      </c>
      <c r="I16" s="16" t="inlineStr">
        <is>
          <t>Director, Scriptwriter, Script critic, Retention analyst</t>
        </is>
      </c>
      <c r="J16" s="14" t="n"/>
      <c r="K16" s="17" t="inlineStr">
        <is>
          <t>Not started</t>
        </is>
      </c>
      <c r="L16" s="16" t="inlineStr"/>
    </row>
    <row r="17">
      <c r="A17" s="14" t="n">
        <v>16</v>
      </c>
      <c r="B17" s="15" t="inlineStr">
        <is>
          <t>content-formats</t>
        </is>
      </c>
      <c r="C17" s="16" t="inlineStr">
        <is>
          <t>D. How a script is built</t>
        </is>
      </c>
      <c r="D17" s="16" t="inlineStr">
        <is>
          <t>Mark</t>
        </is>
      </c>
      <c r="E17" s="14" t="n">
        <v>1</v>
      </c>
      <c r="F17" s="16" t="inlineStr"/>
      <c r="G17" s="16" t="inlineStr">
        <is>
          <t>Our recurring formats (e.g. GATC leaderboard update, AI-vs-AI, behind the build, myth-bust): template, length, when to use each.</t>
        </is>
      </c>
      <c r="H17" s="16" t="inlineStr">
        <is>
          <t>Reinvents the format every time; inconsistent series.</t>
        </is>
      </c>
      <c r="I17" s="16" t="inlineStr">
        <is>
          <t>Director, Scriptwriter</t>
        </is>
      </c>
      <c r="J17" s="14" t="n"/>
      <c r="K17" s="17" t="inlineStr">
        <is>
          <t>Not started</t>
        </is>
      </c>
      <c r="L17" s="16" t="inlineStr"/>
    </row>
    <row r="18">
      <c r="A18" s="14" t="n">
        <v>17</v>
      </c>
      <c r="B18" s="15" t="inlineStr">
        <is>
          <t>cta-and-offer</t>
        </is>
      </c>
      <c r="C18" s="16" t="inlineStr">
        <is>
          <t>D. How a script is built</t>
        </is>
      </c>
      <c r="D18" s="16" t="inlineStr">
        <is>
          <t>Mark</t>
        </is>
      </c>
      <c r="E18" s="14" t="n">
        <v>1</v>
      </c>
      <c r="F18" s="16" t="inlineStr"/>
      <c r="G18" s="16" t="inlineStr">
        <is>
          <t>What we ask for at each goal (follow, comment a keyword, join GATC, try QUBE), exact wording, where it goes.</t>
        </is>
      </c>
      <c r="H18" s="16" t="inlineStr">
        <is>
          <t>Missing, random, or wrong-offer CTAs.</t>
        </is>
      </c>
      <c r="I18" s="16" t="inlineStr">
        <is>
          <t>Scriptwriter</t>
        </is>
      </c>
      <c r="J18" s="14" t="n"/>
      <c r="K18" s="17" t="inlineStr">
        <is>
          <t>Not started</t>
        </is>
      </c>
      <c r="L18" s="16" t="inlineStr"/>
    </row>
    <row r="19">
      <c r="A19" s="14" t="n">
        <v>18</v>
      </c>
      <c r="B19" s="15" t="inlineStr">
        <is>
          <t>on-screen-text</t>
        </is>
      </c>
      <c r="C19" s="16" t="inlineStr">
        <is>
          <t>D. How a script is built</t>
        </is>
      </c>
      <c r="D19" s="16" t="inlineStr">
        <is>
          <t>Claude drafts, Mark corrects</t>
        </is>
      </c>
      <c r="E19" s="14" t="n">
        <v>1</v>
      </c>
      <c r="F19" s="16" t="inlineStr"/>
      <c r="G19" s="16" t="inlineStr">
        <is>
          <t>What goes on screen vs what's spoken, caption length, never duplicating the voiceover. Sharpened by link-database lessons.</t>
        </is>
      </c>
      <c r="H19" s="16" t="inlineStr">
        <is>
          <t>Scripts with nothing for the screen, or text that fights the voiceover.</t>
        </is>
      </c>
      <c r="I19" s="16" t="inlineStr">
        <is>
          <t>Scriptwriter, Production</t>
        </is>
      </c>
      <c r="J19" s="14" t="n"/>
      <c r="K19" s="17" t="inlineStr">
        <is>
          <t>Not started</t>
        </is>
      </c>
      <c r="L19" s="16" t="inlineStr"/>
    </row>
    <row r="20">
      <c r="A20" s="14" t="n">
        <v>19</v>
      </c>
      <c r="B20" s="15" t="inlineStr">
        <is>
          <t>finance-compliance</t>
        </is>
      </c>
      <c r="C20" s="16" t="inlineStr">
        <is>
          <t>E. Guardrails</t>
        </is>
      </c>
      <c r="D20" s="16" t="inlineStr">
        <is>
          <t>Mark</t>
        </is>
      </c>
      <c r="E20" s="14" t="n">
        <v>1</v>
      </c>
      <c r="F20" s="16" t="inlineStr"/>
      <c r="G20" s="16" t="inlineStr">
        <is>
          <t>No return promises, required disclaimers, sim-vs-live wording, banned phrases ("guaranteed", "passive income", etc.).</t>
        </is>
      </c>
      <c r="H20" s="16" t="inlineStr">
        <is>
          <t>Claims that are legally risky or look like a scam.</t>
        </is>
      </c>
      <c r="I20" s="16" t="inlineStr">
        <is>
          <t>Director, Scriptwriter, Script critic</t>
        </is>
      </c>
      <c r="J20" s="14" t="n"/>
      <c r="K20" s="17" t="inlineStr">
        <is>
          <t>Not started</t>
        </is>
      </c>
      <c r="L20" s="16" t="inlineStr"/>
    </row>
    <row r="21">
      <c r="A21" s="14" t="n">
        <v>20</v>
      </c>
      <c r="B21" s="15" t="inlineStr">
        <is>
          <t>gold-standard-scripts</t>
        </is>
      </c>
      <c r="C21" s="16" t="inlineStr">
        <is>
          <t>F. Quality</t>
        </is>
      </c>
      <c r="D21" s="16" t="inlineStr">
        <is>
          <t>Mark</t>
        </is>
      </c>
      <c r="E21" s="14" t="n">
        <v>1</v>
      </c>
      <c r="F21" s="18" t="inlineStr">
        <is>
          <t>START HERE</t>
        </is>
      </c>
      <c r="G21" s="16" t="inlineStr">
        <is>
          <t>10–20 approved scripts annotated line by line with why each line works, plus rejected scripts with why they failed.</t>
        </is>
      </c>
      <c r="H21" s="16" t="inlineStr">
        <is>
          <t>Misreads the rules; good examples teach more than rules do.</t>
        </is>
      </c>
      <c r="I21" s="16" t="inlineStr">
        <is>
          <t>Director, Scriptwriter</t>
        </is>
      </c>
      <c r="J21" s="14" t="n"/>
      <c r="K21" s="17" t="inlineStr">
        <is>
          <t>Not started</t>
        </is>
      </c>
      <c r="L21" s="16" t="inlineStr"/>
    </row>
    <row r="22">
      <c r="A22" s="14" t="n">
        <v>21</v>
      </c>
      <c r="B22" s="15" t="inlineStr">
        <is>
          <t>fix-log</t>
        </is>
      </c>
      <c r="C22" s="16" t="inlineStr">
        <is>
          <t>F. Quality</t>
        </is>
      </c>
      <c r="D22" s="16" t="inlineStr">
        <is>
          <t>Claude drafts, Mark corrects</t>
        </is>
      </c>
      <c r="E22" s="14" t="n">
        <v>1</v>
      </c>
      <c r="F22" s="16" t="inlineStr"/>
      <c r="G22" s="16" t="inlineStr">
        <is>
          <t>Every correction Mark makes: original line → fix → reason → which rule it breaks. Repeated fixes get promoted into rules by the Skill updater.</t>
        </is>
      </c>
      <c r="H22" s="16" t="inlineStr">
        <is>
          <t>The same mistake gets fixed for weeks instead of once.</t>
        </is>
      </c>
      <c r="I22" s="16" t="inlineStr">
        <is>
          <t>Scriptwriter, Script critic, Skill updater</t>
        </is>
      </c>
      <c r="J22" s="14" t="n"/>
      <c r="K22" s="17" t="inlineStr">
        <is>
          <t>Not started</t>
        </is>
      </c>
      <c r="L22" s="16" t="inlineStr"/>
    </row>
    <row r="23">
      <c r="A23" s="14" t="n">
        <v>22</v>
      </c>
      <c r="B23" s="15" t="inlineStr">
        <is>
          <t>script-qa-checklist</t>
        </is>
      </c>
      <c r="C23" s="16" t="inlineStr">
        <is>
          <t>F. Quality</t>
        </is>
      </c>
      <c r="D23" s="16" t="inlineStr">
        <is>
          <t>Claude drafts, Mark corrects</t>
        </is>
      </c>
      <c r="E23" s="14" t="n">
        <v>1</v>
      </c>
      <c r="F23" s="16" t="inlineStr"/>
      <c r="G23" s="16" t="inlineStr">
        <is>
          <t>The line-by-line review the Script critic runs before any script reaches Mark.</t>
        </is>
      </c>
      <c r="H23" s="16" t="inlineStr">
        <is>
          <t>Problems reach Mark instead of being caught first.</t>
        </is>
      </c>
      <c r="I23" s="16" t="inlineStr">
        <is>
          <t>Script critic</t>
        </is>
      </c>
      <c r="J23" s="14" t="n"/>
      <c r="K23" s="17" t="inlineStr">
        <is>
          <t>Not started</t>
        </is>
      </c>
      <c r="L23" s="16" t="inlineStr"/>
    </row>
    <row r="24">
      <c r="A24" s="14" t="n">
        <v>23</v>
      </c>
      <c r="B24" s="15" t="inlineStr">
        <is>
          <t>content-strategy</t>
        </is>
      </c>
      <c r="C24" s="16" t="inlineStr">
        <is>
          <t>G. Strategy</t>
        </is>
      </c>
      <c r="D24" s="16" t="inlineStr">
        <is>
          <t>Mark</t>
        </is>
      </c>
      <c r="E24" s="14" t="n">
        <v>1</v>
      </c>
      <c r="F24" s="16" t="inlineStr"/>
      <c r="G24" s="16" t="inlineStr">
        <is>
          <t>Content pillars, posting mix, what each week should push (GATC vs QUBE), goals per pillar.</t>
        </is>
      </c>
      <c r="H24" s="16" t="inlineStr">
        <is>
          <t>Random topics with no plan behind them.</t>
        </is>
      </c>
      <c r="I24" s="16" t="inlineStr">
        <is>
          <t>Director</t>
        </is>
      </c>
      <c r="J24" s="14" t="n"/>
      <c r="K24" s="17" t="inlineStr">
        <is>
          <t>Not started</t>
        </is>
      </c>
      <c r="L24" s="16" t="inlineStr"/>
    </row>
    <row r="25">
      <c r="A25" s="14" t="n">
        <v>24</v>
      </c>
      <c r="B25" s="15" t="inlineStr">
        <is>
          <t>content-scorecard</t>
        </is>
      </c>
      <c r="C25" s="16" t="inlineStr">
        <is>
          <t>G. Strategy</t>
        </is>
      </c>
      <c r="D25" s="16" t="inlineStr">
        <is>
          <t>Mark</t>
        </is>
      </c>
      <c r="E25" s="14" t="n">
        <v>1</v>
      </c>
      <c r="F25" s="16" t="inlineStr"/>
      <c r="G25" s="16" t="inlineStr">
        <is>
          <t>The metrics that define "good" (e.g. 3-second hold, average watch %, shares per 1k views) and the targets for each.</t>
        </is>
      </c>
      <c r="H25" s="16" t="inlineStr">
        <is>
          <t>Approvals based on gut feel; no way to tell if the machine is improving.</t>
        </is>
      </c>
      <c r="I25" s="16" t="inlineStr">
        <is>
          <t>Director, Analytics</t>
        </is>
      </c>
      <c r="J25" s="14" t="n"/>
      <c r="K25" s="17" t="inlineStr">
        <is>
          <t>Not started</t>
        </is>
      </c>
      <c r="L25" s="16" t="inlineStr"/>
    </row>
    <row r="26">
      <c r="A26" s="14" t="n">
        <v>25</v>
      </c>
      <c r="B26" s="15" t="inlineStr">
        <is>
          <t>storyboarding</t>
        </is>
      </c>
      <c r="C26" s="16" t="inlineStr">
        <is>
          <t>H. Production</t>
        </is>
      </c>
      <c r="D26" s="16" t="inlineStr">
        <is>
          <t>Pipeline</t>
        </is>
      </c>
      <c r="E26" s="14" t="n">
        <v>6</v>
      </c>
      <c r="F26" s="16" t="inlineStr"/>
      <c r="G26" s="16" t="inlineStr">
        <is>
          <t>From the link database plus storyboards Mark likes: turning lines into shots (framing, angle, movement, duration).</t>
        </is>
      </c>
      <c r="H26" s="16" t="inlineStr">
        <is>
          <t>Shot lists that are vague or impossible to film.</t>
        </is>
      </c>
      <c r="I26" s="16" t="inlineStr">
        <is>
          <t>Production</t>
        </is>
      </c>
      <c r="J26" s="14" t="n"/>
      <c r="K26" s="17" t="inlineStr">
        <is>
          <t>Not started</t>
        </is>
      </c>
      <c r="L26" s="16" t="inlineStr"/>
    </row>
    <row r="27">
      <c r="A27" s="14" t="n">
        <v>26</v>
      </c>
      <c r="B27" s="15" t="inlineStr">
        <is>
          <t>filming-setup</t>
        </is>
      </c>
      <c r="C27" s="16" t="inlineStr">
        <is>
          <t>H. Production</t>
        </is>
      </c>
      <c r="D27" s="16" t="inlineStr">
        <is>
          <t>Mark</t>
        </is>
      </c>
      <c r="E27" s="14" t="n">
        <v>6</v>
      </c>
      <c r="F27" s="16" t="inlineStr"/>
      <c r="G27" s="16" t="inlineStr">
        <is>
          <t>Mark's gear, locations, lighting, and how he films.</t>
        </is>
      </c>
      <c r="H27" s="16" t="inlineStr">
        <is>
          <t>Plans shots that can't be filmed with the gear available.</t>
        </is>
      </c>
      <c r="I27" s="16" t="inlineStr">
        <is>
          <t>Production</t>
        </is>
      </c>
      <c r="J27" s="14" t="n"/>
      <c r="K27" s="17" t="inlineStr">
        <is>
          <t>Not started</t>
        </is>
      </c>
      <c r="L27" s="16" t="inlineStr"/>
    </row>
    <row r="28">
      <c r="A28" s="14" t="n">
        <v>27</v>
      </c>
      <c r="B28" s="15" t="inlineStr">
        <is>
          <t>broll-sourcing</t>
        </is>
      </c>
      <c r="C28" s="16" t="inlineStr">
        <is>
          <t>H. Production</t>
        </is>
      </c>
      <c r="D28" s="16" t="inlineStr">
        <is>
          <t>Mark</t>
        </is>
      </c>
      <c r="E28" s="14" t="n">
        <v>6</v>
      </c>
      <c r="F28" s="16" t="inlineStr"/>
      <c r="G28" s="16" t="inlineStr">
        <is>
          <t>Every GATC/QUBE screen and account available to capture, and how to capture each (recording settings, crop, what to hide).</t>
        </is>
      </c>
      <c r="H28" s="16" t="inlineStr">
        <is>
          <t>Asks for visuals that don't exist or can't be captured.</t>
        </is>
      </c>
      <c r="I28" s="16" t="inlineStr">
        <is>
          <t>B-roll</t>
        </is>
      </c>
      <c r="J28" s="14" t="n"/>
      <c r="K28" s="17" t="inlineStr">
        <is>
          <t>Not started</t>
        </is>
      </c>
      <c r="L28" s="16" t="inlineStr"/>
    </row>
    <row r="29">
      <c r="A29" s="14" t="n">
        <v>28</v>
      </c>
      <c r="B29" s="15" t="inlineStr">
        <is>
          <t>video-breakdown</t>
        </is>
      </c>
      <c r="C29" s="16" t="inlineStr">
        <is>
          <t>I. Research</t>
        </is>
      </c>
      <c r="D29" s="16" t="inlineStr">
        <is>
          <t>Claude drafts, Mark corrects</t>
        </is>
      </c>
      <c r="E29" s="14" t="n">
        <v>2</v>
      </c>
      <c r="F29" s="16" t="inlineStr"/>
      <c r="G29" s="16" t="inlineStr">
        <is>
          <t>The fixed lesson-card format: claims, rules, example hooks, structure, timestamps, source link.</t>
        </is>
      </c>
      <c r="H29" s="16" t="inlineStr">
        <is>
          <t>Every video analysed differently, so lessons can't be combined.</t>
        </is>
      </c>
      <c r="I29" s="16" t="inlineStr">
        <is>
          <t>Video analyst, Competitor scout</t>
        </is>
      </c>
      <c r="J29" s="14" t="n"/>
      <c r="K29" s="17" t="inlineStr">
        <is>
          <t>Not started</t>
        </is>
      </c>
      <c r="L29" s="16" t="inlineStr"/>
    </row>
    <row r="30">
      <c r="A30" s="14" t="n">
        <v>29</v>
      </c>
      <c r="B30" s="15" t="inlineStr">
        <is>
          <t>kb-curation</t>
        </is>
      </c>
      <c r="C30" s="16" t="inlineStr">
        <is>
          <t>I. Research</t>
        </is>
      </c>
      <c r="D30" s="16" t="inlineStr">
        <is>
          <t>Claude drafts, Mark corrects</t>
        </is>
      </c>
      <c r="E30" s="14" t="n">
        <v>2</v>
      </c>
      <c r="F30" s="16" t="inlineStr"/>
      <c r="G30" s="16" t="inlineStr">
        <is>
          <t>How to tag, dedupe and score knowledge: strong (several creators) / contested / single-source.</t>
        </is>
      </c>
      <c r="H30" s="16" t="inlineStr">
        <is>
          <t>Duplicate or contradictory rules piling up in the knowledge base.</t>
        </is>
      </c>
      <c r="I30" s="16" t="inlineStr">
        <is>
          <t>Librarian</t>
        </is>
      </c>
      <c r="J30" s="14" t="n"/>
      <c r="K30" s="17" t="inlineStr">
        <is>
          <t>Not started</t>
        </is>
      </c>
      <c r="L30" s="16" t="inlineStr"/>
    </row>
    <row r="31">
      <c r="A31" s="14" t="n">
        <v>30</v>
      </c>
      <c r="B31" s="15" t="inlineStr">
        <is>
          <t>remix-for-product</t>
        </is>
      </c>
      <c r="C31" s="16" t="inlineStr">
        <is>
          <t>I. Research</t>
        </is>
      </c>
      <c r="D31" s="16" t="inlineStr">
        <is>
          <t>Claude drafts, Mark corrects</t>
        </is>
      </c>
      <c r="E31" s="14" t="n">
        <v>5</v>
      </c>
      <c r="F31" s="16" t="inlineStr"/>
      <c r="G31" s="16" t="inlineStr">
        <is>
          <t>How to keep a viral video's structure and hook but rebuild it around GATC/QUBE, without copying footage.</t>
        </is>
      </c>
      <c r="H31" s="16" t="inlineStr">
        <is>
          <t>Copies competitors too closely, or loses what made the original work.</t>
        </is>
      </c>
      <c r="I31" s="16" t="inlineStr">
        <is>
          <t>Competitor scout</t>
        </is>
      </c>
      <c r="J31" s="14" t="n"/>
      <c r="K31" s="17" t="inlineStr">
        <is>
          <t>Not started</t>
        </is>
      </c>
      <c r="L31" s="16" t="inlineStr"/>
    </row>
    <row r="32">
      <c r="A32" s="14" t="n">
        <v>31</v>
      </c>
      <c r="B32" s="15" t="inlineStr">
        <is>
          <t>skill-creator</t>
        </is>
      </c>
      <c r="C32" s="16" t="inlineStr">
        <is>
          <t>I. Research</t>
        </is>
      </c>
      <c r="D32" s="16" t="inlineStr">
        <is>
          <t>Already exists</t>
        </is>
      </c>
      <c r="E32" s="14" t="n">
        <v>2</v>
      </c>
      <c r="F32" s="16" t="inlineStr"/>
      <c r="G32" s="16" t="inlineStr">
        <is>
          <t>Anthropic's format for writing and structuring a SKILL.md. Already installed.</t>
        </is>
      </c>
      <c r="H32" s="16" t="inlineStr">
        <is>
          <t>Badly structured skills that load the wrong detail at the wrong time.</t>
        </is>
      </c>
      <c r="I32" s="16" t="inlineStr">
        <is>
          <t>Librarian, Skill updater</t>
        </is>
      </c>
      <c r="J32" s="14" t="n"/>
      <c r="K32" s="17" t="inlineStr">
        <is>
          <t>Done</t>
        </is>
      </c>
      <c r="L32" s="16" t="inlineStr"/>
    </row>
    <row r="33">
      <c r="A33" s="14" t="n">
        <v>32</v>
      </c>
      <c r="B33" s="15" t="inlineStr">
        <is>
          <t>metrics-definitions</t>
        </is>
      </c>
      <c r="C33" s="16" t="inlineStr">
        <is>
          <t>J. Feedback</t>
        </is>
      </c>
      <c r="D33" s="16" t="inlineStr">
        <is>
          <t>Claude drafts, Mark corrects</t>
        </is>
      </c>
      <c r="E33" s="14" t="n">
        <v>3</v>
      </c>
      <c r="F33" s="16" t="inlineStr"/>
      <c r="G33" s="16" t="inlineStr">
        <is>
          <t>Which numbers to pull from Instagram, what each means, how to compare videos fairly (age of post, reach).</t>
        </is>
      </c>
      <c r="H33" s="16" t="inlineStr">
        <is>
          <t>Compares posts unfairly and draws wrong conclusions.</t>
        </is>
      </c>
      <c r="I33" s="16" t="inlineStr">
        <is>
          <t>Analytics</t>
        </is>
      </c>
      <c r="J33" s="14" t="n"/>
      <c r="K33" s="17" t="inlineStr">
        <is>
          <t>Not started</t>
        </is>
      </c>
      <c r="L33" s="16" t="inlineStr"/>
    </row>
    <row r="34">
      <c r="A34" s="14" t="n">
        <v>33</v>
      </c>
      <c r="B34" s="15" t="inlineStr">
        <is>
          <t>retention-diagnosis</t>
        </is>
      </c>
      <c r="C34" s="16" t="inlineStr">
        <is>
          <t>J. Feedback</t>
        </is>
      </c>
      <c r="D34" s="16" t="inlineStr">
        <is>
          <t>Claude drafts, Mark corrects</t>
        </is>
      </c>
      <c r="E34" s="14" t="n">
        <v>4</v>
      </c>
      <c r="F34" s="16" t="inlineStr"/>
      <c r="G34" s="16" t="inlineStr">
        <is>
          <t>How to read a retention graph and turn a drop at a timestamp into a script cause.</t>
        </is>
      </c>
      <c r="H34" s="16" t="inlineStr">
        <is>
          <t>Knows where people left but not why.</t>
        </is>
      </c>
      <c r="I34" s="16" t="inlineStr">
        <is>
          <t>Retention analyst</t>
        </is>
      </c>
      <c r="J34" s="14" t="n"/>
      <c r="K34" s="17" t="inlineStr">
        <is>
          <t>Not started</t>
        </is>
      </c>
      <c r="L34" s="16" t="inlineStr"/>
    </row>
    <row r="35">
      <c r="A35" s="14" t="n">
        <v>34</v>
      </c>
      <c r="B35" s="15" t="inlineStr">
        <is>
          <t>skill-updating</t>
        </is>
      </c>
      <c r="C35" s="16" t="inlineStr">
        <is>
          <t>J. Feedback</t>
        </is>
      </c>
      <c r="D35" s="16" t="inlineStr">
        <is>
          <t>Claude drafts, Mark corrects</t>
        </is>
      </c>
      <c r="E35" s="14" t="n">
        <v>4</v>
      </c>
      <c r="F35" s="16" t="inlineStr"/>
      <c r="G35" s="16" t="inlineStr">
        <is>
          <t>Rules for changing a skill: minimum sample size, show a diff, Mark approves, log the change.</t>
        </is>
      </c>
      <c r="H35" s="16" t="inlineStr">
        <is>
          <t>Skills drift after one bad video.</t>
        </is>
      </c>
      <c r="I35" s="16" t="inlineStr">
        <is>
          <t>Skill updater</t>
        </is>
      </c>
      <c r="J35" s="14" t="n"/>
      <c r="K35" s="17" t="inlineStr">
        <is>
          <t>Not started</t>
        </is>
      </c>
      <c r="L35" s="16" t="inlineStr"/>
    </row>
  </sheetData>
  <autoFilter ref="A1:L35"/>
  <conditionalFormatting sqref="K2:K35">
    <cfRule type="expression" priority="1" dxfId="0">
      <formula>K2="Done"</formula>
    </cfRule>
    <cfRule type="expression" priority="2" dxfId="1">
      <formula>K2="Reviewed"</formula>
    </cfRule>
    <cfRule type="expression" priority="3" dxfId="2">
      <formula>K2="Drafted"</formula>
    </cfRule>
    <cfRule type="expression" priority="4" dxfId="3">
      <formula>K2="In progress"</formula>
    </cfRule>
    <cfRule type="expression" priority="5" dxfId="4">
      <formula>K2="Not started"</formula>
    </cfRule>
    <cfRule type="expression" priority="6" dxfId="0">
      <formula>K2="Live"</formula>
    </cfRule>
    <cfRule type="expression" priority="7" dxfId="1">
      <formula>K2="Testing"</formula>
    </cfRule>
    <cfRule type="expression" priority="8" dxfId="3">
      <formula>K2="Building"</formula>
    </cfRule>
  </conditionalFormatting>
  <dataValidations count="1">
    <dataValidation sqref="K2:K35" showDropDown="0" showInputMessage="0" showErrorMessage="0" allowBlank="0" type="list">
      <formula1>"Not started,In progress,Drafted,Reviewed,Done"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110" customHeight="1">
      <c r="A1" s="13" t="inlineStr">
        <is>
          <t>Skill</t>
        </is>
      </c>
      <c r="B1" s="13" t="inlineStr">
        <is>
          <t>Status</t>
        </is>
      </c>
      <c r="C1" s="19" t="inlineStr">
        <is>
          <t>Director</t>
        </is>
      </c>
      <c r="D1" s="19" t="inlineStr">
        <is>
          <t>Scriptwriter</t>
        </is>
      </c>
      <c r="E1" s="19" t="inlineStr">
        <is>
          <t>Script critic</t>
        </is>
      </c>
      <c r="F1" s="19" t="inlineStr">
        <is>
          <t>Production</t>
        </is>
      </c>
      <c r="G1" s="19" t="inlineStr">
        <is>
          <t>B-roll</t>
        </is>
      </c>
      <c r="H1" s="19" t="inlineStr">
        <is>
          <t>Video analyst</t>
        </is>
      </c>
      <c r="I1" s="19" t="inlineStr">
        <is>
          <t>Librarian</t>
        </is>
      </c>
      <c r="J1" s="19" t="inlineStr">
        <is>
          <t>Competitor scout</t>
        </is>
      </c>
      <c r="K1" s="19" t="inlineStr">
        <is>
          <t>Analytics</t>
        </is>
      </c>
      <c r="L1" s="19" t="inlineStr">
        <is>
          <t>Retention analyst</t>
        </is>
      </c>
      <c r="M1" s="19" t="inlineStr">
        <is>
          <t>Skill updater</t>
        </is>
      </c>
    </row>
    <row r="2">
      <c r="A2" s="11">
        <f>Skills!B2</f>
        <v/>
      </c>
      <c r="B2" s="9">
        <f>Skills!K2</f>
        <v/>
      </c>
      <c r="C2" s="20" t="inlineStr">
        <is>
          <t>✓</t>
        </is>
      </c>
      <c r="D2" s="20" t="inlineStr">
        <is>
          <t>✓</t>
        </is>
      </c>
      <c r="E2" s="20" t="inlineStr"/>
      <c r="F2" s="20" t="inlineStr"/>
      <c r="G2" s="20" t="inlineStr"/>
      <c r="H2" s="20" t="inlineStr"/>
      <c r="I2" s="20" t="inlineStr"/>
      <c r="J2" s="20" t="inlineStr">
        <is>
          <t>✓</t>
        </is>
      </c>
      <c r="K2" s="20" t="inlineStr"/>
      <c r="L2" s="20" t="inlineStr"/>
      <c r="M2" s="20" t="inlineStr"/>
    </row>
    <row r="3">
      <c r="A3" s="11">
        <f>Skills!B3</f>
        <v/>
      </c>
      <c r="B3" s="9">
        <f>Skills!K3</f>
        <v/>
      </c>
      <c r="C3" s="20" t="inlineStr"/>
      <c r="D3" s="20" t="inlineStr">
        <is>
          <t>✓</t>
        </is>
      </c>
      <c r="E3" s="20" t="inlineStr"/>
      <c r="F3" s="20" t="inlineStr"/>
      <c r="G3" s="20" t="inlineStr"/>
      <c r="H3" s="20" t="inlineStr"/>
      <c r="I3" s="20" t="inlineStr"/>
      <c r="J3" s="20" t="inlineStr"/>
      <c r="K3" s="20" t="inlineStr"/>
      <c r="L3" s="20" t="inlineStr"/>
      <c r="M3" s="20" t="inlineStr"/>
    </row>
    <row r="4">
      <c r="A4" s="11">
        <f>Skills!B4</f>
        <v/>
      </c>
      <c r="B4" s="9">
        <f>Skills!K4</f>
        <v/>
      </c>
      <c r="C4" s="20" t="inlineStr"/>
      <c r="D4" s="20" t="inlineStr">
        <is>
          <t>✓</t>
        </is>
      </c>
      <c r="E4" s="20" t="inlineStr">
        <is>
          <t>✓</t>
        </is>
      </c>
      <c r="F4" s="20" t="inlineStr">
        <is>
          <t>✓</t>
        </is>
      </c>
      <c r="G4" s="20" t="inlineStr">
        <is>
          <t>✓</t>
        </is>
      </c>
      <c r="H4" s="20" t="inlineStr"/>
      <c r="I4" s="20" t="inlineStr"/>
      <c r="J4" s="20" t="inlineStr"/>
      <c r="K4" s="20" t="inlineStr"/>
      <c r="L4" s="20" t="inlineStr"/>
      <c r="M4" s="20" t="inlineStr"/>
    </row>
    <row r="5">
      <c r="A5" s="11">
        <f>Skills!B5</f>
        <v/>
      </c>
      <c r="B5" s="9">
        <f>Skills!K5</f>
        <v/>
      </c>
      <c r="C5" s="20" t="inlineStr"/>
      <c r="D5" s="20" t="inlineStr">
        <is>
          <t>✓</t>
        </is>
      </c>
      <c r="E5" s="20" t="inlineStr">
        <is>
          <t>✓</t>
        </is>
      </c>
      <c r="F5" s="20" t="inlineStr">
        <is>
          <t>✓</t>
        </is>
      </c>
      <c r="G5" s="20" t="inlineStr">
        <is>
          <t>✓</t>
        </is>
      </c>
      <c r="H5" s="20" t="inlineStr"/>
      <c r="I5" s="20" t="inlineStr"/>
      <c r="J5" s="20" t="inlineStr"/>
      <c r="K5" s="20" t="inlineStr"/>
      <c r="L5" s="20" t="inlineStr"/>
      <c r="M5" s="20" t="inlineStr"/>
    </row>
    <row r="6">
      <c r="A6" s="11">
        <f>Skills!B6</f>
        <v/>
      </c>
      <c r="B6" s="9">
        <f>Skills!K6</f>
        <v/>
      </c>
      <c r="C6" s="20" t="inlineStr"/>
      <c r="D6" s="20" t="inlineStr">
        <is>
          <t>✓</t>
        </is>
      </c>
      <c r="E6" s="20" t="inlineStr">
        <is>
          <t>✓</t>
        </is>
      </c>
      <c r="F6" s="20" t="inlineStr"/>
      <c r="G6" s="20" t="inlineStr">
        <is>
          <t>✓</t>
        </is>
      </c>
      <c r="H6" s="20" t="inlineStr"/>
      <c r="I6" s="20" t="inlineStr"/>
      <c r="J6" s="20" t="inlineStr"/>
      <c r="K6" s="20" t="inlineStr"/>
      <c r="L6" s="20" t="inlineStr"/>
      <c r="M6" s="20" t="inlineStr"/>
    </row>
    <row r="7">
      <c r="A7" s="11">
        <f>Skills!B7</f>
        <v/>
      </c>
      <c r="B7" s="9">
        <f>Skills!K7</f>
        <v/>
      </c>
      <c r="C7" s="20" t="inlineStr"/>
      <c r="D7" s="20" t="inlineStr">
        <is>
          <t>✓</t>
        </is>
      </c>
      <c r="E7" s="20" t="inlineStr">
        <is>
          <t>✓</t>
        </is>
      </c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</row>
    <row r="8">
      <c r="A8" s="11">
        <f>Skills!B8</f>
        <v/>
      </c>
      <c r="B8" s="9">
        <f>Skills!K8</f>
        <v/>
      </c>
      <c r="C8" s="20" t="inlineStr"/>
      <c r="D8" s="20" t="inlineStr">
        <is>
          <t>✓</t>
        </is>
      </c>
      <c r="E8" s="20" t="inlineStr"/>
      <c r="F8" s="20" t="inlineStr"/>
      <c r="G8" s="20" t="inlineStr">
        <is>
          <t>✓</t>
        </is>
      </c>
      <c r="H8" s="20" t="inlineStr"/>
      <c r="I8" s="20" t="inlineStr"/>
      <c r="J8" s="20" t="inlineStr"/>
      <c r="K8" s="20" t="inlineStr"/>
      <c r="L8" s="20" t="inlineStr"/>
      <c r="M8" s="20" t="inlineStr"/>
    </row>
    <row r="9">
      <c r="A9" s="11">
        <f>Skills!B9</f>
        <v/>
      </c>
      <c r="B9" s="9">
        <f>Skills!K9</f>
        <v/>
      </c>
      <c r="C9" s="20" t="inlineStr">
        <is>
          <t>✓</t>
        </is>
      </c>
      <c r="D9" s="20" t="inlineStr">
        <is>
          <t>✓</t>
        </is>
      </c>
      <c r="E9" s="20" t="inlineStr"/>
      <c r="F9" s="20" t="inlineStr"/>
      <c r="G9" s="20" t="inlineStr"/>
      <c r="H9" s="20" t="inlineStr"/>
      <c r="I9" s="20" t="inlineStr"/>
      <c r="J9" s="20" t="inlineStr">
        <is>
          <t>✓</t>
        </is>
      </c>
      <c r="K9" s="20" t="inlineStr"/>
      <c r="L9" s="20" t="inlineStr"/>
      <c r="M9" s="20" t="inlineStr"/>
    </row>
    <row r="10">
      <c r="A10" s="11">
        <f>Skills!B10</f>
        <v/>
      </c>
      <c r="B10" s="9">
        <f>Skills!K10</f>
        <v/>
      </c>
      <c r="C10" s="20" t="inlineStr"/>
      <c r="D10" s="20" t="inlineStr">
        <is>
          <t>✓</t>
        </is>
      </c>
      <c r="E10" s="20" t="inlineStr">
        <is>
          <t>✓</t>
        </is>
      </c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</row>
    <row r="11">
      <c r="A11" s="11">
        <f>Skills!B11</f>
        <v/>
      </c>
      <c r="B11" s="9">
        <f>Skills!K11</f>
        <v/>
      </c>
      <c r="C11" s="20" t="inlineStr"/>
      <c r="D11" s="20" t="inlineStr">
        <is>
          <t>✓</t>
        </is>
      </c>
      <c r="E11" s="20" t="inlineStr">
        <is>
          <t>✓</t>
        </is>
      </c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</row>
    <row r="12">
      <c r="A12" s="11">
        <f>Skills!B12</f>
        <v/>
      </c>
      <c r="B12" s="9">
        <f>Skills!K12</f>
        <v/>
      </c>
      <c r="C12" s="20" t="inlineStr"/>
      <c r="D12" s="20" t="inlineStr">
        <is>
          <t>✓</t>
        </is>
      </c>
      <c r="E12" s="20" t="inlineStr">
        <is>
          <t>✓</t>
        </is>
      </c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</row>
    <row r="13">
      <c r="A13" s="11">
        <f>Skills!B13</f>
        <v/>
      </c>
      <c r="B13" s="9">
        <f>Skills!K13</f>
        <v/>
      </c>
      <c r="C13" s="20" t="inlineStr">
        <is>
          <t>✓</t>
        </is>
      </c>
      <c r="D13" s="20" t="inlineStr">
        <is>
          <t>✓</t>
        </is>
      </c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>
        <is>
          <t>✓</t>
        </is>
      </c>
      <c r="M13" s="20" t="inlineStr"/>
    </row>
    <row r="14">
      <c r="A14" s="11">
        <f>Skills!B14</f>
        <v/>
      </c>
      <c r="B14" s="9">
        <f>Skills!K14</f>
        <v/>
      </c>
      <c r="C14" s="20" t="inlineStr"/>
      <c r="D14" s="20" t="inlineStr">
        <is>
          <t>✓</t>
        </is>
      </c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>
        <is>
          <t>✓</t>
        </is>
      </c>
      <c r="M14" s="20" t="inlineStr"/>
    </row>
    <row r="15">
      <c r="A15" s="11">
        <f>Skills!B15</f>
        <v/>
      </c>
      <c r="B15" s="9">
        <f>Skills!K15</f>
        <v/>
      </c>
      <c r="C15" s="20" t="inlineStr"/>
      <c r="D15" s="20" t="inlineStr">
        <is>
          <t>✓</t>
        </is>
      </c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>
        <is>
          <t>✓</t>
        </is>
      </c>
      <c r="M15" s="20" t="inlineStr"/>
    </row>
    <row r="16">
      <c r="A16" s="11">
        <f>Skills!B16</f>
        <v/>
      </c>
      <c r="B16" s="9">
        <f>Skills!K16</f>
        <v/>
      </c>
      <c r="C16" s="20" t="inlineStr">
        <is>
          <t>✓</t>
        </is>
      </c>
      <c r="D16" s="20" t="inlineStr">
        <is>
          <t>✓</t>
        </is>
      </c>
      <c r="E16" s="20" t="inlineStr">
        <is>
          <t>✓</t>
        </is>
      </c>
      <c r="F16" s="20" t="inlineStr"/>
      <c r="G16" s="20" t="inlineStr"/>
      <c r="H16" s="20" t="inlineStr"/>
      <c r="I16" s="20" t="inlineStr"/>
      <c r="J16" s="20" t="inlineStr"/>
      <c r="K16" s="20" t="inlineStr"/>
      <c r="L16" s="20" t="inlineStr">
        <is>
          <t>✓</t>
        </is>
      </c>
      <c r="M16" s="20" t="inlineStr"/>
    </row>
    <row r="17">
      <c r="A17" s="11">
        <f>Skills!B17</f>
        <v/>
      </c>
      <c r="B17" s="9">
        <f>Skills!K17</f>
        <v/>
      </c>
      <c r="C17" s="20" t="inlineStr">
        <is>
          <t>✓</t>
        </is>
      </c>
      <c r="D17" s="20" t="inlineStr">
        <is>
          <t>✓</t>
        </is>
      </c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</row>
    <row r="18">
      <c r="A18" s="11">
        <f>Skills!B18</f>
        <v/>
      </c>
      <c r="B18" s="9">
        <f>Skills!K18</f>
        <v/>
      </c>
      <c r="C18" s="20" t="inlineStr"/>
      <c r="D18" s="20" t="inlineStr">
        <is>
          <t>✓</t>
        </is>
      </c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</row>
    <row r="19">
      <c r="A19" s="11">
        <f>Skills!B19</f>
        <v/>
      </c>
      <c r="B19" s="9">
        <f>Skills!K19</f>
        <v/>
      </c>
      <c r="C19" s="20" t="inlineStr"/>
      <c r="D19" s="20" t="inlineStr">
        <is>
          <t>✓</t>
        </is>
      </c>
      <c r="E19" s="20" t="inlineStr"/>
      <c r="F19" s="20" t="inlineStr">
        <is>
          <t>✓</t>
        </is>
      </c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</row>
    <row r="20">
      <c r="A20" s="11">
        <f>Skills!B20</f>
        <v/>
      </c>
      <c r="B20" s="9">
        <f>Skills!K20</f>
        <v/>
      </c>
      <c r="C20" s="20" t="inlineStr">
        <is>
          <t>✓</t>
        </is>
      </c>
      <c r="D20" s="20" t="inlineStr">
        <is>
          <t>✓</t>
        </is>
      </c>
      <c r="E20" s="20" t="inlineStr">
        <is>
          <t>✓</t>
        </is>
      </c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</row>
    <row r="21">
      <c r="A21" s="11">
        <f>Skills!B21</f>
        <v/>
      </c>
      <c r="B21" s="9">
        <f>Skills!K21</f>
        <v/>
      </c>
      <c r="C21" s="20" t="inlineStr">
        <is>
          <t>✓</t>
        </is>
      </c>
      <c r="D21" s="20" t="inlineStr">
        <is>
          <t>✓</t>
        </is>
      </c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</row>
    <row r="22">
      <c r="A22" s="11">
        <f>Skills!B22</f>
        <v/>
      </c>
      <c r="B22" s="9">
        <f>Skills!K22</f>
        <v/>
      </c>
      <c r="C22" s="20" t="inlineStr"/>
      <c r="D22" s="20" t="inlineStr">
        <is>
          <t>✓</t>
        </is>
      </c>
      <c r="E22" s="20" t="inlineStr">
        <is>
          <t>✓</t>
        </is>
      </c>
      <c r="F22" s="20" t="inlineStr"/>
      <c r="G22" s="20" t="inlineStr"/>
      <c r="H22" s="20" t="inlineStr"/>
      <c r="I22" s="20" t="inlineStr"/>
      <c r="J22" s="20" t="inlineStr"/>
      <c r="K22" s="20" t="inlineStr"/>
      <c r="L22" s="20" t="inlineStr"/>
      <c r="M22" s="20" t="inlineStr">
        <is>
          <t>✓</t>
        </is>
      </c>
    </row>
    <row r="23">
      <c r="A23" s="11">
        <f>Skills!B23</f>
        <v/>
      </c>
      <c r="B23" s="9">
        <f>Skills!K23</f>
        <v/>
      </c>
      <c r="C23" s="20" t="inlineStr"/>
      <c r="D23" s="20" t="inlineStr"/>
      <c r="E23" s="20" t="inlineStr">
        <is>
          <t>✓</t>
        </is>
      </c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</row>
    <row r="24">
      <c r="A24" s="11">
        <f>Skills!B24</f>
        <v/>
      </c>
      <c r="B24" s="9">
        <f>Skills!K24</f>
        <v/>
      </c>
      <c r="C24" s="20" t="inlineStr">
        <is>
          <t>✓</t>
        </is>
      </c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</row>
    <row r="25">
      <c r="A25" s="11">
        <f>Skills!B25</f>
        <v/>
      </c>
      <c r="B25" s="9">
        <f>Skills!K25</f>
        <v/>
      </c>
      <c r="C25" s="20" t="inlineStr">
        <is>
          <t>✓</t>
        </is>
      </c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>
        <is>
          <t>✓</t>
        </is>
      </c>
      <c r="L25" s="20" t="inlineStr"/>
      <c r="M25" s="20" t="inlineStr"/>
    </row>
    <row r="26">
      <c r="A26" s="11">
        <f>Skills!B26</f>
        <v/>
      </c>
      <c r="B26" s="9">
        <f>Skills!K26</f>
        <v/>
      </c>
      <c r="C26" s="20" t="inlineStr"/>
      <c r="D26" s="20" t="inlineStr"/>
      <c r="E26" s="20" t="inlineStr"/>
      <c r="F26" s="20" t="inlineStr">
        <is>
          <t>✓</t>
        </is>
      </c>
      <c r="G26" s="20" t="inlineStr"/>
      <c r="H26" s="20" t="inlineStr"/>
      <c r="I26" s="20" t="inlineStr"/>
      <c r="J26" s="20" t="inlineStr"/>
      <c r="K26" s="20" t="inlineStr"/>
      <c r="L26" s="20" t="inlineStr"/>
      <c r="M26" s="20" t="inlineStr"/>
    </row>
    <row r="27">
      <c r="A27" s="11">
        <f>Skills!B27</f>
        <v/>
      </c>
      <c r="B27" s="9">
        <f>Skills!K27</f>
        <v/>
      </c>
      <c r="C27" s="20" t="inlineStr"/>
      <c r="D27" s="20" t="inlineStr"/>
      <c r="E27" s="20" t="inlineStr"/>
      <c r="F27" s="20" t="inlineStr">
        <is>
          <t>✓</t>
        </is>
      </c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</row>
    <row r="28">
      <c r="A28" s="11">
        <f>Skills!B28</f>
        <v/>
      </c>
      <c r="B28" s="9">
        <f>Skills!K28</f>
        <v/>
      </c>
      <c r="C28" s="20" t="inlineStr"/>
      <c r="D28" s="20" t="inlineStr"/>
      <c r="E28" s="20" t="inlineStr"/>
      <c r="F28" s="20" t="inlineStr"/>
      <c r="G28" s="20" t="inlineStr">
        <is>
          <t>✓</t>
        </is>
      </c>
      <c r="H28" s="20" t="inlineStr"/>
      <c r="I28" s="20" t="inlineStr"/>
      <c r="J28" s="20" t="inlineStr"/>
      <c r="K28" s="20" t="inlineStr"/>
      <c r="L28" s="20" t="inlineStr"/>
      <c r="M28" s="20" t="inlineStr"/>
    </row>
    <row r="29">
      <c r="A29" s="11">
        <f>Skills!B29</f>
        <v/>
      </c>
      <c r="B29" s="9">
        <f>Skills!K29</f>
        <v/>
      </c>
      <c r="C29" s="20" t="inlineStr"/>
      <c r="D29" s="20" t="inlineStr"/>
      <c r="E29" s="20" t="inlineStr"/>
      <c r="F29" s="20" t="inlineStr"/>
      <c r="G29" s="20" t="inlineStr"/>
      <c r="H29" s="20" t="inlineStr">
        <is>
          <t>✓</t>
        </is>
      </c>
      <c r="I29" s="20" t="inlineStr"/>
      <c r="J29" s="20" t="inlineStr">
        <is>
          <t>✓</t>
        </is>
      </c>
      <c r="K29" s="20" t="inlineStr"/>
      <c r="L29" s="20" t="inlineStr"/>
      <c r="M29" s="20" t="inlineStr"/>
    </row>
    <row r="30">
      <c r="A30" s="11">
        <f>Skills!B30</f>
        <v/>
      </c>
      <c r="B30" s="9">
        <f>Skills!K30</f>
        <v/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>
        <is>
          <t>✓</t>
        </is>
      </c>
      <c r="J30" s="20" t="inlineStr"/>
      <c r="K30" s="20" t="inlineStr"/>
      <c r="L30" s="20" t="inlineStr"/>
      <c r="M30" s="20" t="inlineStr"/>
    </row>
    <row r="31">
      <c r="A31" s="11">
        <f>Skills!B31</f>
        <v/>
      </c>
      <c r="B31" s="9">
        <f>Skills!K31</f>
        <v/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>
        <is>
          <t>✓</t>
        </is>
      </c>
      <c r="K31" s="20" t="inlineStr"/>
      <c r="L31" s="20" t="inlineStr"/>
      <c r="M31" s="20" t="inlineStr"/>
    </row>
    <row r="32">
      <c r="A32" s="11">
        <f>Skills!B32</f>
        <v/>
      </c>
      <c r="B32" s="9">
        <f>Skills!K32</f>
        <v/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>
        <is>
          <t>✓</t>
        </is>
      </c>
      <c r="J32" s="20" t="inlineStr"/>
      <c r="K32" s="20" t="inlineStr"/>
      <c r="L32" s="20" t="inlineStr"/>
      <c r="M32" s="20" t="inlineStr">
        <is>
          <t>✓</t>
        </is>
      </c>
    </row>
    <row r="33">
      <c r="A33" s="11">
        <f>Skills!B33</f>
        <v/>
      </c>
      <c r="B33" s="9">
        <f>Skills!K33</f>
        <v/>
      </c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>
        <is>
          <t>✓</t>
        </is>
      </c>
      <c r="L33" s="20" t="inlineStr"/>
      <c r="M33" s="20" t="inlineStr"/>
    </row>
    <row r="34">
      <c r="A34" s="11">
        <f>Skills!B34</f>
        <v/>
      </c>
      <c r="B34" s="9">
        <f>Skills!K34</f>
        <v/>
      </c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0" t="inlineStr"/>
      <c r="L34" s="20" t="inlineStr">
        <is>
          <t>✓</t>
        </is>
      </c>
      <c r="M34" s="20" t="inlineStr"/>
    </row>
    <row r="35">
      <c r="A35" s="11">
        <f>Skills!B35</f>
        <v/>
      </c>
      <c r="B35" s="9">
        <f>Skills!K35</f>
        <v/>
      </c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>
        <is>
          <t>✓</t>
        </is>
      </c>
    </row>
  </sheetData>
  <conditionalFormatting sqref="B2:B35">
    <cfRule type="expression" priority="1" dxfId="0">
      <formula>B2="Done"</formula>
    </cfRule>
    <cfRule type="expression" priority="2" dxfId="1">
      <formula>B2="Reviewed"</formula>
    </cfRule>
    <cfRule type="expression" priority="3" dxfId="2">
      <formula>B2="Drafted"</formula>
    </cfRule>
    <cfRule type="expression" priority="4" dxfId="3">
      <formula>B2="In progress"</formula>
    </cfRule>
    <cfRule type="expression" priority="5" dxfId="4">
      <formula>B2="Not started"</formula>
    </cfRule>
    <cfRule type="expression" priority="6" dxfId="0">
      <formula>B2="Live"</formula>
    </cfRule>
    <cfRule type="expression" priority="7" dxfId="1">
      <formula>B2="Testing"</formula>
    </cfRule>
    <cfRule type="expression" priority="8" dxfId="3">
      <formula>B2="Building"</formula>
    </cfRule>
  </conditionalFormatting>
  <conditionalFormatting sqref="C2:C35">
    <cfRule type="expression" priority="9" dxfId="0">
      <formula>AND(C2="✓",$B2="Done")</formula>
    </cfRule>
  </conditionalFormatting>
  <conditionalFormatting sqref="D2:D35">
    <cfRule type="expression" priority="10" dxfId="0">
      <formula>AND(D2="✓",$B2="Done")</formula>
    </cfRule>
  </conditionalFormatting>
  <conditionalFormatting sqref="E2:E35">
    <cfRule type="expression" priority="11" dxfId="0">
      <formula>AND(E2="✓",$B2="Done")</formula>
    </cfRule>
  </conditionalFormatting>
  <conditionalFormatting sqref="F2:F35">
    <cfRule type="expression" priority="12" dxfId="0">
      <formula>AND(F2="✓",$B2="Done")</formula>
    </cfRule>
  </conditionalFormatting>
  <conditionalFormatting sqref="G2:G35">
    <cfRule type="expression" priority="13" dxfId="0">
      <formula>AND(G2="✓",$B2="Done")</formula>
    </cfRule>
  </conditionalFormatting>
  <conditionalFormatting sqref="H2:H35">
    <cfRule type="expression" priority="14" dxfId="0">
      <formula>AND(H2="✓",$B2="Done")</formula>
    </cfRule>
  </conditionalFormatting>
  <conditionalFormatting sqref="I2:I35">
    <cfRule type="expression" priority="15" dxfId="0">
      <formula>AND(I2="✓",$B2="Done")</formula>
    </cfRule>
  </conditionalFormatting>
  <conditionalFormatting sqref="J2:J35">
    <cfRule type="expression" priority="16" dxfId="0">
      <formula>AND(J2="✓",$B2="Done")</formula>
    </cfRule>
  </conditionalFormatting>
  <conditionalFormatting sqref="K2:K35">
    <cfRule type="expression" priority="17" dxfId="0">
      <formula>AND(K2="✓",$B2="Done")</formula>
    </cfRule>
  </conditionalFormatting>
  <conditionalFormatting sqref="L2:L35">
    <cfRule type="expression" priority="18" dxfId="0">
      <formula>AND(L2="✓",$B2="Done")</formula>
    </cfRule>
  </conditionalFormatting>
  <conditionalFormatting sqref="M2:M35">
    <cfRule type="expression" priority="19" dxfId="0">
      <formula>AND(M2="✓",$B2="Done")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7" customWidth="1" min="4" max="4"/>
    <col width="45" customWidth="1" min="5" max="5"/>
    <col width="26" customWidth="1" min="6" max="6"/>
    <col width="9" customWidth="1" min="7" max="7"/>
    <col width="9" customWidth="1" min="8" max="8"/>
    <col width="18" customWidth="1" min="9" max="9"/>
    <col width="13" customWidth="1" min="10" max="10"/>
    <col width="30" customWidth="1" min="11" max="11"/>
  </cols>
  <sheetData>
    <row r="1" ht="30" customHeight="1">
      <c r="A1" s="13" t="inlineStr">
        <is>
          <t>#</t>
        </is>
      </c>
      <c r="B1" s="13" t="inlineStr">
        <is>
          <t>Agent</t>
        </is>
      </c>
      <c r="C1" s="13" t="inlineStr">
        <is>
          <t>Loop</t>
        </is>
      </c>
      <c r="D1" s="13" t="inlineStr">
        <is>
          <t>Phase</t>
        </is>
      </c>
      <c r="E1" s="13" t="inlineStr">
        <is>
          <t>Job</t>
        </is>
      </c>
      <c r="F1" s="13" t="inlineStr">
        <is>
          <t>Skills it loads</t>
        </is>
      </c>
      <c r="G1" s="13" t="inlineStr">
        <is>
          <t>Skills needed</t>
        </is>
      </c>
      <c r="H1" s="13" t="inlineStr">
        <is>
          <t>Skills done</t>
        </is>
      </c>
      <c r="I1" s="13" t="inlineStr">
        <is>
          <t>Ready?</t>
        </is>
      </c>
      <c r="J1" s="13" t="inlineStr">
        <is>
          <t>Status</t>
        </is>
      </c>
      <c r="K1" s="13" t="inlineStr">
        <is>
          <t>Notes</t>
        </is>
      </c>
    </row>
    <row r="2">
      <c r="A2" s="14" t="n">
        <v>1</v>
      </c>
      <c r="B2" s="15" t="inlineStr">
        <is>
          <t>Director</t>
        </is>
      </c>
      <c r="C2" s="16" t="inlineStr">
        <is>
          <t>Production</t>
        </is>
      </c>
      <c r="D2" s="14" t="n">
        <v>1</v>
      </c>
      <c r="E2" s="16" t="inlineStr">
        <is>
          <t>Sets the weekly content plan and the angle for each video; approves the outline, script and final cut.</t>
        </is>
      </c>
      <c r="F2" s="16" t="inlineStr">
        <is>
          <t>content-strategy
audience-profile
positioning
content-formats
content-scorecard
script-logic
hook-writing
finance-compliance
gold-standard-scripts</t>
        </is>
      </c>
      <c r="G2" s="14">
        <f>COUNTIF('Agent x Skill'!$C$2:$C$35,"✓")</f>
        <v/>
      </c>
      <c r="H2" s="14">
        <f>SUMPRODUCT(('Agent x Skill'!$C$2:$C$35="✓")*('Agent x Skill'!$B$2:$B$35="Done"))</f>
        <v/>
      </c>
      <c r="I2" s="16">
        <f>IF(H2=G2,"Ready to build","Waiting on "&amp;(G2-H2)&amp;" skill"&amp;IF(G2-H2=1,"","s"))</f>
        <v/>
      </c>
      <c r="J2" s="17" t="inlineStr">
        <is>
          <t>Not started</t>
        </is>
      </c>
      <c r="K2" s="16" t="inlineStr"/>
    </row>
    <row r="3">
      <c r="A3" s="14" t="n">
        <v>2</v>
      </c>
      <c r="B3" s="15" t="inlineStr">
        <is>
          <t>Scriptwriter</t>
        </is>
      </c>
      <c r="C3" s="16" t="inlineStr">
        <is>
          <t>Production</t>
        </is>
      </c>
      <c r="D3" s="14" t="n">
        <v>1</v>
      </c>
      <c r="E3" s="16" t="inlineStr">
        <is>
          <t>Writes in passes (outline → draft → voice pass) with estimated timestamps per line.</t>
        </is>
      </c>
      <c r="F3" s="16" t="inlineStr">
        <is>
          <t>audience-profile
audience-language
product-truth-gatc
product-truth-qube
terminology
trading-fundamentals
claims-and-proof
positioning
tqx-voice
spoken-sentence-rules
anti-ai-patterns
hook-writing
story-structures
retention-writing
script-logic
content-formats
cta-and-offer
on-screen-text
finance-compliance
gold-standard-scripts
fix-log</t>
        </is>
      </c>
      <c r="G3" s="14">
        <f>COUNTIF('Agent x Skill'!$D$2:$D$35,"✓")</f>
        <v/>
      </c>
      <c r="H3" s="14">
        <f>SUMPRODUCT(('Agent x Skill'!$D$2:$D$35="✓")*('Agent x Skill'!$B$2:$B$35="Done"))</f>
        <v/>
      </c>
      <c r="I3" s="16">
        <f>IF(H3=G3,"Ready to build","Waiting on "&amp;(G3-H3)&amp;" skill"&amp;IF(G3-H3=1,"","s"))</f>
        <v/>
      </c>
      <c r="J3" s="17" t="inlineStr">
        <is>
          <t>Not started</t>
        </is>
      </c>
      <c r="K3" s="16" t="inlineStr"/>
    </row>
    <row r="4">
      <c r="A4" s="14" t="n">
        <v>3</v>
      </c>
      <c r="B4" s="15" t="inlineStr">
        <is>
          <t>Script critic</t>
        </is>
      </c>
      <c r="C4" s="16" t="inlineStr">
        <is>
          <t>Production</t>
        </is>
      </c>
      <c r="D4" s="14" t="n">
        <v>1</v>
      </c>
      <c r="E4" s="16" t="inlineStr">
        <is>
          <t>Reviews every script line by line before the Director sees it and sends it back with specific fixes.</t>
        </is>
      </c>
      <c r="F4" s="16" t="inlineStr">
        <is>
          <t>script-qa-checklist
terminology
product-truth-gatc
product-truth-qube
trading-fundamentals
spoken-sentence-rules
anti-ai-patterns
script-logic
tqx-voice
finance-compliance
fix-log</t>
        </is>
      </c>
      <c r="G4" s="14">
        <f>COUNTIF('Agent x Skill'!$E$2:$E$35,"✓")</f>
        <v/>
      </c>
      <c r="H4" s="14">
        <f>SUMPRODUCT(('Agent x Skill'!$E$2:$E$35="✓")*('Agent x Skill'!$B$2:$B$35="Done"))</f>
        <v/>
      </c>
      <c r="I4" s="16">
        <f>IF(H4=G4,"Ready to build","Waiting on "&amp;(G4-H4)&amp;" skill"&amp;IF(G4-H4=1,"","s"))</f>
        <v/>
      </c>
      <c r="J4" s="17" t="inlineStr">
        <is>
          <t>Not started</t>
        </is>
      </c>
      <c r="K4" s="16" t="inlineStr"/>
    </row>
    <row r="5">
      <c r="A5" s="14" t="n">
        <v>4</v>
      </c>
      <c r="B5" s="15" t="inlineStr">
        <is>
          <t>Production</t>
        </is>
      </c>
      <c r="C5" s="16" t="inlineStr">
        <is>
          <t>Production</t>
        </is>
      </c>
      <c r="D5" s="14" t="n">
        <v>6</v>
      </c>
      <c r="E5" s="16" t="inlineStr">
        <is>
          <t>Turns the locked script into a storyboard and shot list.</t>
        </is>
      </c>
      <c r="F5" s="16" t="inlineStr">
        <is>
          <t>storyboarding
filming-setup
on-screen-text
product-truth-gatc
product-truth-qube</t>
        </is>
      </c>
      <c r="G5" s="14">
        <f>COUNTIF('Agent x Skill'!$F$2:$F$35,"✓")</f>
        <v/>
      </c>
      <c r="H5" s="14">
        <f>SUMPRODUCT(('Agent x Skill'!$F$2:$F$35="✓")*('Agent x Skill'!$B$2:$B$35="Done"))</f>
        <v/>
      </c>
      <c r="I5" s="16">
        <f>IF(H5=G5,"Ready to build","Waiting on "&amp;(G5-H5)&amp;" skill"&amp;IF(G5-H5=1,"","s"))</f>
        <v/>
      </c>
      <c r="J5" s="17" t="inlineStr">
        <is>
          <t>Not started</t>
        </is>
      </c>
      <c r="K5" s="16" t="inlineStr"/>
    </row>
    <row r="6">
      <c r="A6" s="14" t="n">
        <v>5</v>
      </c>
      <c r="B6" s="15" t="inlineStr">
        <is>
          <t>B-roll</t>
        </is>
      </c>
      <c r="C6" s="16" t="inlineStr">
        <is>
          <t>Production</t>
        </is>
      </c>
      <c r="D6" s="14" t="n">
        <v>6</v>
      </c>
      <c r="E6" s="16" t="inlineStr">
        <is>
          <t>Lists every screen recording and screenshot needed, with a capture checklist.</t>
        </is>
      </c>
      <c r="F6" s="16" t="inlineStr">
        <is>
          <t>broll-sourcing
claims-and-proof
product-truth-gatc
product-truth-qube
terminology</t>
        </is>
      </c>
      <c r="G6" s="14">
        <f>COUNTIF('Agent x Skill'!$G$2:$G$35,"✓")</f>
        <v/>
      </c>
      <c r="H6" s="14">
        <f>SUMPRODUCT(('Agent x Skill'!$G$2:$G$35="✓")*('Agent x Skill'!$B$2:$B$35="Done"))</f>
        <v/>
      </c>
      <c r="I6" s="16">
        <f>IF(H6=G6,"Ready to build","Waiting on "&amp;(G6-H6)&amp;" skill"&amp;IF(G6-H6=1,"","s"))</f>
        <v/>
      </c>
      <c r="J6" s="17" t="inlineStr">
        <is>
          <t>Not started</t>
        </is>
      </c>
      <c r="K6" s="16" t="inlineStr"/>
    </row>
    <row r="7">
      <c r="A7" s="14" t="n">
        <v>6</v>
      </c>
      <c r="B7" s="15" t="inlineStr">
        <is>
          <t>Video analyst</t>
        </is>
      </c>
      <c r="C7" s="16" t="inlineStr">
        <is>
          <t>Research</t>
        </is>
      </c>
      <c r="D7" s="14" t="n">
        <v>2</v>
      </c>
      <c r="E7" s="16" t="inlineStr">
        <is>
          <t>Downloads, transcribes and grabs frames, then writes one lesson card per video.</t>
        </is>
      </c>
      <c r="F7" s="16" t="inlineStr">
        <is>
          <t>video-breakdown</t>
        </is>
      </c>
      <c r="G7" s="14">
        <f>COUNTIF('Agent x Skill'!$H$2:$H$35,"✓")</f>
        <v/>
      </c>
      <c r="H7" s="14">
        <f>SUMPRODUCT(('Agent x Skill'!$H$2:$H$35="✓")*('Agent x Skill'!$B$2:$B$35="Done"))</f>
        <v/>
      </c>
      <c r="I7" s="16">
        <f>IF(H7=G7,"Ready to build","Waiting on "&amp;(G7-H7)&amp;" skill"&amp;IF(G7-H7=1,"","s"))</f>
        <v/>
      </c>
      <c r="J7" s="17" t="inlineStr">
        <is>
          <t>Not started</t>
        </is>
      </c>
      <c r="K7" s="16" t="inlineStr"/>
    </row>
    <row r="8">
      <c r="A8" s="14" t="n">
        <v>7</v>
      </c>
      <c r="B8" s="15" t="inlineStr">
        <is>
          <t>Librarian</t>
        </is>
      </c>
      <c r="C8" s="16" t="inlineStr">
        <is>
          <t>Research</t>
        </is>
      </c>
      <c r="D8" s="14" t="n">
        <v>2</v>
      </c>
      <c r="E8" s="16" t="inlineStr">
        <is>
          <t>Combines lesson cards into skills and ranks rules (strong / contested / single-source).</t>
        </is>
      </c>
      <c r="F8" s="16" t="inlineStr">
        <is>
          <t>kb-curation
skill-creator</t>
        </is>
      </c>
      <c r="G8" s="14">
        <f>COUNTIF('Agent x Skill'!$I$2:$I$35,"✓")</f>
        <v/>
      </c>
      <c r="H8" s="14">
        <f>SUMPRODUCT(('Agent x Skill'!$I$2:$I$35="✓")*('Agent x Skill'!$B$2:$B$35="Done"))</f>
        <v/>
      </c>
      <c r="I8" s="16">
        <f>IF(H8=G8,"Ready to build","Waiting on "&amp;(G8-H8)&amp;" skill"&amp;IF(G8-H8=1,"","s"))</f>
        <v/>
      </c>
      <c r="J8" s="17" t="inlineStr">
        <is>
          <t>Not started</t>
        </is>
      </c>
      <c r="K8" s="16" t="inlineStr"/>
    </row>
    <row r="9">
      <c r="A9" s="14" t="n">
        <v>8</v>
      </c>
      <c r="B9" s="15" t="inlineStr">
        <is>
          <t>Competitor scout</t>
        </is>
      </c>
      <c r="C9" s="16" t="inlineStr">
        <is>
          <t>Research</t>
        </is>
      </c>
      <c r="D9" s="14" t="n">
        <v>5</v>
      </c>
      <c r="E9" s="16" t="inlineStr">
        <is>
          <t>Finds top-performing Reels in the niche and writes remix-for-GATC/QUBE briefs.</t>
        </is>
      </c>
      <c r="F9" s="16" t="inlineStr">
        <is>
          <t>video-breakdown
remix-for-product
audience-profile
positioning</t>
        </is>
      </c>
      <c r="G9" s="14">
        <f>COUNTIF('Agent x Skill'!$J$2:$J$35,"✓")</f>
        <v/>
      </c>
      <c r="H9" s="14">
        <f>SUMPRODUCT(('Agent x Skill'!$J$2:$J$35="✓")*('Agent x Skill'!$B$2:$B$35="Done"))</f>
        <v/>
      </c>
      <c r="I9" s="16">
        <f>IF(H9=G9,"Ready to build","Waiting on "&amp;(G9-H9)&amp;" skill"&amp;IF(G9-H9=1,"","s"))</f>
        <v/>
      </c>
      <c r="J9" s="17" t="inlineStr">
        <is>
          <t>Not started</t>
        </is>
      </c>
      <c r="K9" s="16" t="inlineStr"/>
    </row>
    <row r="10">
      <c r="A10" s="14" t="n">
        <v>9</v>
      </c>
      <c r="B10" s="15" t="inlineStr">
        <is>
          <t>Analytics</t>
        </is>
      </c>
      <c r="C10" s="16" t="inlineStr">
        <is>
          <t>Feedback</t>
        </is>
      </c>
      <c r="D10" s="14" t="n">
        <v>3</v>
      </c>
      <c r="E10" s="16" t="inlineStr">
        <is>
          <t>Pulls metrics for each post and matches them to the video ID and its script.</t>
        </is>
      </c>
      <c r="F10" s="16" t="inlineStr">
        <is>
          <t>metrics-definitions
content-scorecard</t>
        </is>
      </c>
      <c r="G10" s="14">
        <f>COUNTIF('Agent x Skill'!$K$2:$K$35,"✓")</f>
        <v/>
      </c>
      <c r="H10" s="14">
        <f>SUMPRODUCT(('Agent x Skill'!$K$2:$K$35="✓")*('Agent x Skill'!$B$2:$B$35="Done"))</f>
        <v/>
      </c>
      <c r="I10" s="16">
        <f>IF(H10=G10,"Ready to build","Waiting on "&amp;(G10-H10)&amp;" skill"&amp;IF(G10-H10=1,"","s"))</f>
        <v/>
      </c>
      <c r="J10" s="17" t="inlineStr">
        <is>
          <t>Not started</t>
        </is>
      </c>
      <c r="K10" s="16" t="inlineStr"/>
    </row>
    <row r="11">
      <c r="A11" s="14" t="n">
        <v>10</v>
      </c>
      <c r="B11" s="15" t="inlineStr">
        <is>
          <t>Retention analyst</t>
        </is>
      </c>
      <c r="C11" s="16" t="inlineStr">
        <is>
          <t>Feedback</t>
        </is>
      </c>
      <c r="D11" s="14" t="n">
        <v>4</v>
      </c>
      <c r="E11" s="16" t="inlineStr">
        <is>
          <t>Maps each drop-off to a script line and gives the cause.</t>
        </is>
      </c>
      <c r="F11" s="16" t="inlineStr">
        <is>
          <t>retention-diagnosis
hook-writing
story-structures
retention-writing
script-logic</t>
        </is>
      </c>
      <c r="G11" s="14">
        <f>COUNTIF('Agent x Skill'!$L$2:$L$35,"✓")</f>
        <v/>
      </c>
      <c r="H11" s="14">
        <f>SUMPRODUCT(('Agent x Skill'!$L$2:$L$35="✓")*('Agent x Skill'!$B$2:$B$35="Done"))</f>
        <v/>
      </c>
      <c r="I11" s="16">
        <f>IF(H11=G11,"Ready to build","Waiting on "&amp;(G11-H11)&amp;" skill"&amp;IF(G11-H11=1,"","s"))</f>
        <v/>
      </c>
      <c r="J11" s="17" t="inlineStr">
        <is>
          <t>Not started</t>
        </is>
      </c>
      <c r="K11" s="16" t="inlineStr"/>
    </row>
    <row r="12">
      <c r="A12" s="14" t="n">
        <v>11</v>
      </c>
      <c r="B12" s="15" t="inlineStr">
        <is>
          <t>Skill updater</t>
        </is>
      </c>
      <c r="C12" s="16" t="inlineStr">
        <is>
          <t>Feedback</t>
        </is>
      </c>
      <c r="D12" s="14" t="n">
        <v>4</v>
      </c>
      <c r="E12" s="16" t="inlineStr">
        <is>
          <t>Turns patterns in the data and in Mark's fixes into proposed skill changes; Mark approves each one.</t>
        </is>
      </c>
      <c r="F12" s="16" t="inlineStr">
        <is>
          <t>skill-updating
fix-log
skill-creator</t>
        </is>
      </c>
      <c r="G12" s="14">
        <f>COUNTIF('Agent x Skill'!$M$2:$M$35,"✓")</f>
        <v/>
      </c>
      <c r="H12" s="14">
        <f>SUMPRODUCT(('Agent x Skill'!$M$2:$M$35="✓")*('Agent x Skill'!$B$2:$B$35="Done"))</f>
        <v/>
      </c>
      <c r="I12" s="16">
        <f>IF(H12=G12,"Ready to build","Waiting on "&amp;(G12-H12)&amp;" skill"&amp;IF(G12-H12=1,"","s"))</f>
        <v/>
      </c>
      <c r="J12" s="17" t="inlineStr">
        <is>
          <t>Not started</t>
        </is>
      </c>
      <c r="K12" s="16" t="inlineStr"/>
    </row>
  </sheetData>
  <conditionalFormatting sqref="J2:J12">
    <cfRule type="expression" priority="1" dxfId="0">
      <formula>J2="Done"</formula>
    </cfRule>
    <cfRule type="expression" priority="2" dxfId="1">
      <formula>J2="Reviewed"</formula>
    </cfRule>
    <cfRule type="expression" priority="3" dxfId="2">
      <formula>J2="Drafted"</formula>
    </cfRule>
    <cfRule type="expression" priority="4" dxfId="3">
      <formula>J2="In progress"</formula>
    </cfRule>
    <cfRule type="expression" priority="5" dxfId="4">
      <formula>J2="Not started"</formula>
    </cfRule>
    <cfRule type="expression" priority="6" dxfId="0">
      <formula>J2="Live"</formula>
    </cfRule>
    <cfRule type="expression" priority="7" dxfId="1">
      <formula>J2="Testing"</formula>
    </cfRule>
    <cfRule type="expression" priority="8" dxfId="3">
      <formula>J2="Building"</formula>
    </cfRule>
  </conditionalFormatting>
  <conditionalFormatting sqref="I2:I12">
    <cfRule type="expression" priority="9" dxfId="0">
      <formula>I2="Ready to build"</formula>
    </cfRule>
  </conditionalFormatting>
  <dataValidations count="1">
    <dataValidation sqref="J2:J12" showDropDown="0" showInputMessage="0" showErrorMessage="0" allowBlank="0" type="list">
      <formula1>"Not started,Building,Testing,Live"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22" customWidth="1" min="4" max="4"/>
    <col width="7" customWidth="1" min="5" max="5"/>
    <col width="32" customWidth="1" min="6" max="6"/>
    <col width="13" customWidth="1" min="7" max="7"/>
    <col width="30" customWidth="1" min="8" max="8"/>
  </cols>
  <sheetData>
    <row r="1" ht="30" customHeight="1">
      <c r="A1" s="13" t="inlineStr">
        <is>
          <t>#</t>
        </is>
      </c>
      <c r="B1" s="13" t="inlineStr">
        <is>
          <t>Task</t>
        </is>
      </c>
      <c r="C1" s="13" t="inlineStr">
        <is>
          <t>Why</t>
        </is>
      </c>
      <c r="D1" s="13" t="inlineStr">
        <is>
          <t>Who</t>
        </is>
      </c>
      <c r="E1" s="13" t="inlineStr">
        <is>
          <t>Phase</t>
        </is>
      </c>
      <c r="F1" s="13" t="inlineStr">
        <is>
          <t>Link</t>
        </is>
      </c>
      <c r="G1" s="13" t="inlineStr">
        <is>
          <t>Status</t>
        </is>
      </c>
      <c r="H1" s="13" t="inlineStr">
        <is>
          <t>Notes</t>
        </is>
      </c>
    </row>
    <row r="2">
      <c r="A2" s="14" t="n">
        <v>1</v>
      </c>
      <c r="B2" s="16" t="inlineStr">
        <is>
          <t>Create the content-machine folder and put it in git</t>
        </is>
      </c>
      <c r="C2" s="16" t="inlineStr">
        <is>
          <t>Every skill change becomes a diff you can read and roll back</t>
        </is>
      </c>
      <c r="D2" s="16" t="inlineStr">
        <is>
          <t>Claude</t>
        </is>
      </c>
      <c r="E2" s="14" t="n">
        <v>1</v>
      </c>
      <c r="F2" s="16" t="inlineStr"/>
      <c r="G2" s="17" t="inlineStr">
        <is>
          <t>Not started</t>
        </is>
      </c>
      <c r="H2" s="16" t="inlineStr"/>
    </row>
    <row r="3">
      <c r="A3" s="14" t="n">
        <v>2</v>
      </c>
      <c r="B3" s="16" t="inlineStr">
        <is>
          <t>Write CLAUDE.md (products, audience summary, scorecard)</t>
        </is>
      </c>
      <c r="C3" s="16" t="inlineStr">
        <is>
          <t>Every agent reads it first</t>
        </is>
      </c>
      <c r="D3" s="16" t="inlineStr">
        <is>
          <t>Claude drafts, Mark corrects</t>
        </is>
      </c>
      <c r="E3" s="14" t="n">
        <v>1</v>
      </c>
      <c r="F3" s="16" t="inlineStr"/>
      <c r="G3" s="17" t="inlineStr">
        <is>
          <t>Not started</t>
        </is>
      </c>
      <c r="H3" s="16" t="inlineStr"/>
    </row>
    <row r="4">
      <c r="A4" s="14" t="n">
        <v>3</v>
      </c>
      <c r="B4" s="16" t="inlineStr">
        <is>
          <t>Build the automatic script checker</t>
        </is>
      </c>
      <c r="C4" s="16" t="inlineStr">
        <is>
          <t>Catches banned phrases, em dashes, non-glossary terms and long sentences every time</t>
        </is>
      </c>
      <c r="D4" s="16" t="inlineStr">
        <is>
          <t>Claude</t>
        </is>
      </c>
      <c r="E4" s="14" t="n">
        <v>1</v>
      </c>
      <c r="F4" s="16" t="inlineStr"/>
      <c r="G4" s="17" t="inlineStr">
        <is>
          <t>Not started</t>
        </is>
      </c>
      <c r="H4" s="16" t="inlineStr"/>
    </row>
    <row r="5">
      <c r="A5" s="14" t="n">
        <v>4</v>
      </c>
      <c r="B5" s="16" t="inlineStr">
        <is>
          <t>Collect recordings of Mark talking naturally (voice notes, lives, best videos)</t>
        </is>
      </c>
      <c r="C5" s="16" t="inlineStr">
        <is>
          <t>Raw material for tqx-voice</t>
        </is>
      </c>
      <c r="D5" s="16" t="inlineStr">
        <is>
          <t>Mark</t>
        </is>
      </c>
      <c r="E5" s="14" t="n">
        <v>1</v>
      </c>
      <c r="F5" s="16" t="inlineStr"/>
      <c r="G5" s="17" t="inlineStr">
        <is>
          <t>Not started</t>
        </is>
      </c>
      <c r="H5" s="16" t="inlineStr"/>
    </row>
    <row r="6">
      <c r="A6" s="14" t="n">
        <v>5</v>
      </c>
      <c r="B6" s="16" t="inlineStr">
        <is>
          <t>Collect 10–20 approved scripts and some rejected ones</t>
        </is>
      </c>
      <c r="C6" s="16" t="inlineStr">
        <is>
          <t>Raw material for gold-standard-scripts</t>
        </is>
      </c>
      <c r="D6" s="16" t="inlineStr">
        <is>
          <t>Mark</t>
        </is>
      </c>
      <c r="E6" s="14" t="n">
        <v>1</v>
      </c>
      <c r="F6" s="16" t="inlineStr"/>
      <c r="G6" s="17" t="inlineStr">
        <is>
          <t>Not started</t>
        </is>
      </c>
      <c r="H6" s="16" t="inlineStr"/>
    </row>
    <row r="7">
      <c r="A7" s="14" t="n">
        <v>6</v>
      </c>
      <c r="B7" s="16" t="inlineStr">
        <is>
          <t>Build the IG link database, tagged by topic (hooks / storytelling / retention / editing)</t>
        </is>
      </c>
      <c r="C7" s="16" t="inlineStr">
        <is>
          <t>Feeds hook-writing, story-structures, retention-writing, storyboarding</t>
        </is>
      </c>
      <c r="D7" s="16" t="inlineStr">
        <is>
          <t>Mark</t>
        </is>
      </c>
      <c r="E7" s="14" t="n">
        <v>2</v>
      </c>
      <c r="F7" s="16" t="inlineStr"/>
      <c r="G7" s="17" t="inlineStr">
        <is>
          <t>Not started</t>
        </is>
      </c>
      <c r="H7" s="16" t="inlineStr"/>
    </row>
    <row r="8">
      <c r="A8" s="14" t="n">
        <v>7</v>
      </c>
      <c r="B8" s="16" t="inlineStr">
        <is>
          <t>Decide on yt-dlp for downloading Reels (against Instagram's terms) or manual saving</t>
        </is>
      </c>
      <c r="C8" s="16" t="inlineStr">
        <is>
          <t>The transcriber needs the video file</t>
        </is>
      </c>
      <c r="D8" s="16" t="inlineStr">
        <is>
          <t>Mark</t>
        </is>
      </c>
      <c r="E8" s="14" t="n">
        <v>2</v>
      </c>
      <c r="F8" s="16" t="inlineStr"/>
      <c r="G8" s="17" t="inlineStr">
        <is>
          <t>Not started</t>
        </is>
      </c>
      <c r="H8" s="16" t="inlineStr"/>
    </row>
    <row r="9">
      <c r="A9" s="14" t="n">
        <v>8</v>
      </c>
      <c r="B9" s="16" t="inlineStr">
        <is>
          <t>Install ffmpeg, whisper-cpp and yt-dlp</t>
        </is>
      </c>
      <c r="C9" s="16" t="inlineStr">
        <is>
          <t>Frames + transcripts so Claude can study videos</t>
        </is>
      </c>
      <c r="D9" s="16" t="inlineStr">
        <is>
          <t>Claude</t>
        </is>
      </c>
      <c r="E9" s="14" t="n">
        <v>2</v>
      </c>
      <c r="F9" s="16" t="inlineStr"/>
      <c r="G9" s="17" t="inlineStr">
        <is>
          <t>Not started</t>
        </is>
      </c>
      <c r="H9" s="16" t="inlineStr"/>
    </row>
    <row r="10">
      <c r="A10" s="14" t="n">
        <v>9</v>
      </c>
      <c r="B10" s="16" t="inlineStr">
        <is>
          <t>Build the study-video tool (download → transcript → frames → lesson card)</t>
        </is>
      </c>
      <c r="C10" s="16" t="inlineStr">
        <is>
          <t>Turns each link into a lesson card</t>
        </is>
      </c>
      <c r="D10" s="16" t="inlineStr">
        <is>
          <t>Claude</t>
        </is>
      </c>
      <c r="E10" s="14" t="n">
        <v>2</v>
      </c>
      <c r="F10" s="16" t="inlineStr"/>
      <c r="G10" s="17" t="inlineStr">
        <is>
          <t>Not started</t>
        </is>
      </c>
      <c r="H10" s="16" t="inlineStr"/>
    </row>
    <row r="11">
      <c r="A11" s="14" t="n">
        <v>10</v>
      </c>
      <c r="B11" s="16" t="inlineStr">
        <is>
          <t>Set up video IDs (VID-### folder per video)</t>
        </is>
      </c>
      <c r="C11" s="16" t="inlineStr">
        <is>
          <t>Links brief → script → shots → post → metrics</t>
        </is>
      </c>
      <c r="D11" s="16" t="inlineStr">
        <is>
          <t>Claude</t>
        </is>
      </c>
      <c r="E11" s="14" t="n">
        <v>3</v>
      </c>
      <c r="F11" s="16" t="inlineStr"/>
      <c r="G11" s="17" t="inlineStr">
        <is>
          <t>Not started</t>
        </is>
      </c>
      <c r="H11" s="16" t="inlineStr"/>
    </row>
    <row r="12">
      <c r="A12" s="14" t="n">
        <v>11</v>
      </c>
      <c r="B12" s="16" t="inlineStr">
        <is>
          <t>Switch Instagram to a Business/Creator account linked to a Facebook Page</t>
        </is>
      </c>
      <c r="C12" s="16" t="inlineStr">
        <is>
          <t>Required for the Instagram insights API</t>
        </is>
      </c>
      <c r="D12" s="16" t="inlineStr">
        <is>
          <t>Mark</t>
        </is>
      </c>
      <c r="E12" s="14" t="n">
        <v>3</v>
      </c>
      <c r="F12" s="21" t="inlineStr">
        <is>
          <t>https://business.facebook.com/</t>
        </is>
      </c>
      <c r="G12" s="17" t="inlineStr">
        <is>
          <t>Not started</t>
        </is>
      </c>
      <c r="H12" s="16" t="inlineStr"/>
    </row>
    <row r="13">
      <c r="A13" s="14" t="n">
        <v>12</v>
      </c>
      <c r="B13" s="16" t="inlineStr">
        <is>
          <t>Create Meta developer access for Instagram insights</t>
        </is>
      </c>
      <c r="C13" s="16" t="inlineStr">
        <is>
          <t>Lets the Analytics agent pull metrics</t>
        </is>
      </c>
      <c r="D13" s="16" t="inlineStr">
        <is>
          <t>Mark</t>
        </is>
      </c>
      <c r="E13" s="14" t="n">
        <v>3</v>
      </c>
      <c r="F13" s="21" t="inlineStr">
        <is>
          <t>https://developers.facebook.com/apps/</t>
        </is>
      </c>
      <c r="G13" s="17" t="inlineStr">
        <is>
          <t>Not started</t>
        </is>
      </c>
      <c r="H13" s="16" t="inlineStr"/>
    </row>
    <row r="14">
      <c r="A14" s="14" t="n">
        <v>13</v>
      </c>
      <c r="B14" s="16" t="inlineStr">
        <is>
          <t>Screenshot the retention graph for each post (ongoing)</t>
        </is>
      </c>
      <c r="C14" s="16" t="inlineStr">
        <is>
          <t>The API doesn't give the second-by-second curve</t>
        </is>
      </c>
      <c r="D14" s="16" t="inlineStr">
        <is>
          <t>Mark</t>
        </is>
      </c>
      <c r="E14" s="14" t="n">
        <v>4</v>
      </c>
      <c r="F14" s="16" t="inlineStr"/>
      <c r="G14" s="17" t="inlineStr">
        <is>
          <t>Not started</t>
        </is>
      </c>
      <c r="H14" s="16" t="inlineStr"/>
    </row>
    <row r="15">
      <c r="A15" s="14" t="n">
        <v>14</v>
      </c>
      <c r="B15" s="16" t="inlineStr">
        <is>
          <t>List the competitor accounts to watch</t>
        </is>
      </c>
      <c r="C15" s="16" t="inlineStr">
        <is>
          <t>Input for the Competitor scout</t>
        </is>
      </c>
      <c r="D15" s="16" t="inlineStr">
        <is>
          <t>Mark</t>
        </is>
      </c>
      <c r="E15" s="14" t="n">
        <v>5</v>
      </c>
      <c r="F15" s="16" t="inlineStr"/>
      <c r="G15" s="17" t="inlineStr">
        <is>
          <t>Not started</t>
        </is>
      </c>
      <c r="H15" s="16" t="inlineStr"/>
    </row>
    <row r="16">
      <c r="A16" s="14" t="n">
        <v>15</v>
      </c>
      <c r="B16" s="16" t="inlineStr">
        <is>
          <t>Schedule runs: research daily, feedback weekly</t>
        </is>
      </c>
      <c r="C16" s="16" t="inlineStr">
        <is>
          <t>Makes the machine run without you starting it</t>
        </is>
      </c>
      <c r="D16" s="16" t="inlineStr">
        <is>
          <t>Claude</t>
        </is>
      </c>
      <c r="E16" s="14" t="n">
        <v>7</v>
      </c>
      <c r="F16" s="16" t="inlineStr"/>
      <c r="G16" s="17" t="inlineStr">
        <is>
          <t>Not started</t>
        </is>
      </c>
      <c r="H16" s="16" t="inlineStr"/>
    </row>
    <row r="17">
      <c r="A17" s="14" t="n">
        <v>16</v>
      </c>
      <c r="B17" s="16" t="inlineStr">
        <is>
          <t>Later: add the Editor agent and find where the earlier one lives</t>
        </is>
      </c>
      <c r="C17" s="16" t="inlineStr">
        <is>
          <t>Editing is human for now</t>
        </is>
      </c>
      <c r="D17" s="16" t="inlineStr">
        <is>
          <t>Mark</t>
        </is>
      </c>
      <c r="E17" s="14" t="n">
        <v>8</v>
      </c>
      <c r="F17" s="16" t="inlineStr"/>
      <c r="G17" s="17" t="inlineStr">
        <is>
          <t>Not started</t>
        </is>
      </c>
      <c r="H17" s="16" t="inlineStr"/>
    </row>
  </sheetData>
  <conditionalFormatting sqref="G2:G17">
    <cfRule type="expression" priority="1" dxfId="0">
      <formula>G2="Done"</formula>
    </cfRule>
    <cfRule type="expression" priority="2" dxfId="1">
      <formula>G2="Reviewed"</formula>
    </cfRule>
    <cfRule type="expression" priority="3" dxfId="2">
      <formula>G2="Drafted"</formula>
    </cfRule>
    <cfRule type="expression" priority="4" dxfId="3">
      <formula>G2="In progress"</formula>
    </cfRule>
    <cfRule type="expression" priority="5" dxfId="4">
      <formula>G2="Not started"</formula>
    </cfRule>
    <cfRule type="expression" priority="6" dxfId="0">
      <formula>G2="Live"</formula>
    </cfRule>
    <cfRule type="expression" priority="7" dxfId="1">
      <formula>G2="Testing"</formula>
    </cfRule>
    <cfRule type="expression" priority="8" dxfId="3">
      <formula>G2="Building"</formula>
    </cfRule>
  </conditionalFormatting>
  <dataValidations count="1">
    <dataValidation sqref="G2:G17" showDropDown="0" showInputMessage="0" showErrorMessage="0" allowBlank="0" type="list">
      <formula1>"Not started,In progress,Done"</formula1>
    </dataValidation>
  </dataValidations>
  <hyperlinks>
    <hyperlink xmlns:r="http://schemas.openxmlformats.org/officeDocument/2006/relationships" ref="F12" r:id="rId1"/>
    <hyperlink xmlns:r="http://schemas.openxmlformats.org/officeDocument/2006/relationships" ref="F1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2026-10-21T09:51:51Z</dcterms:created>
  <dcterms:modified xsi:type="dcterms:W3CDTF">2026-10-21T09:51:51Z</dcterms:modified>
</cp:coreProperties>
</file>